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8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9" customWidth="1" min="12" max="12"/>
    <col width="13" customWidth="1" min="13" max="13"/>
    <col width="8" customWidth="1" min="14" max="14"/>
    <col width="40" customWidth="1" min="15" max="15"/>
    <col width="3" customWidth="1" min="16" max="16"/>
    <col width="26" customWidth="1" min="17" max="17"/>
    <col width="10" customWidth="1" min="18" max="18"/>
  </cols>
  <sheetData>
    <row r="1">
      <c r="A1" s="1" t="inlineStr">
        <is>
          <t>#</t>
        </is>
      </c>
      <c r="B1" s="1" t="inlineStr">
        <is>
          <t>Schema</t>
        </is>
      </c>
      <c r="C1" s="1" t="inlineStr">
        <is>
          <t>Table / view</t>
        </is>
      </c>
      <c r="D1" s="1" t="inlineStr">
        <is>
          <t>Priority</t>
        </is>
      </c>
      <c r="E1" s="1" t="inlineStr">
        <is>
          <t>Steward</t>
        </is>
      </c>
      <c r="F1" s="1" t="inlineStr">
        <is>
          <t>D1 Title/desc</t>
        </is>
      </c>
      <c r="G1" s="1" t="inlineStr">
        <is>
          <t>D2 Columns</t>
        </is>
      </c>
      <c r="H1" s="1" t="inlineStr">
        <is>
          <t>D3 Ownership</t>
        </is>
      </c>
      <c r="I1" s="1" t="inlineStr">
        <is>
          <t>D4 Trust</t>
        </is>
      </c>
      <c r="J1" s="1" t="inlineStr">
        <is>
          <t>D5 Keys/joins</t>
        </is>
      </c>
      <c r="K1" s="1" t="inlineStr">
        <is>
          <t>Score</t>
        </is>
      </c>
      <c r="L1" s="1" t="inlineStr">
        <is>
          <t>AI-Ready</t>
        </is>
      </c>
      <c r="M1" s="1" t="inlineStr">
        <is>
          <t>Status</t>
        </is>
      </c>
      <c r="N1" s="1" t="inlineStr">
        <is>
          <t>UAT</t>
        </is>
      </c>
      <c r="O1" s="1" t="inlineStr">
        <is>
          <t>Notes</t>
        </is>
      </c>
      <c r="Q1" s="2" t="inlineStr">
        <is>
          <t>TALLY</t>
        </is>
      </c>
    </row>
    <row r="2">
      <c r="A2" t="n">
        <v>1</v>
      </c>
      <c r="B2" t="inlineStr">
        <is>
          <t>sample_schema</t>
        </is>
      </c>
      <c r="C2" t="inlineStr">
        <is>
          <t>v_receipts_daily</t>
        </is>
      </c>
      <c r="D2" t="inlineStr">
        <is>
          <t>H</t>
        </is>
      </c>
      <c r="E2" t="inlineStr">
        <is>
          <t>(steward name)</t>
        </is>
      </c>
      <c r="F2" t="n">
        <v>3</v>
      </c>
      <c r="G2" t="n">
        <v>3</v>
      </c>
      <c r="H2" t="n">
        <v>2</v>
      </c>
      <c r="I2" t="n">
        <v>2</v>
      </c>
      <c r="J2" t="n">
        <v>2</v>
      </c>
      <c r="K2">
        <f>IF(COUNT(F2:J2)=5,SUM(F2:J2),"")</f>
        <v/>
      </c>
      <c r="L2">
        <f>IF(COUNT(F2:J2)&lt;5,"",IF(AND(COUNTIF(F2:J2,"&gt;=2")=5,G2=3),"YES","no"))</f>
        <v/>
      </c>
      <c r="M2" t="inlineStr">
        <is>
          <t>Approved</t>
        </is>
      </c>
      <c r="N2" t="inlineStr">
        <is>
          <t>Pass</t>
        </is>
      </c>
      <c r="O2" t="inlineStr">
        <is>
          <t>Sample row — replace with real inventory work-side; delete before tallying.</t>
        </is>
      </c>
      <c r="Q2" t="inlineStr">
        <is>
          <t>Objects listed</t>
        </is>
      </c>
      <c r="R2">
        <f>COUNTA(C2:C201)</f>
        <v/>
      </c>
    </row>
    <row r="3">
      <c r="A3" t="n">
        <v>2</v>
      </c>
      <c r="K3">
        <f>IF(COUNT(F3:J3)=5,SUM(F3:J3),"")</f>
        <v/>
      </c>
      <c r="L3">
        <f>IF(COUNT(F3:J3)&lt;5,"",IF(AND(COUNTIF(F3:J3,"&gt;=2")=5,G3=3),"YES","no"))</f>
        <v/>
      </c>
      <c r="Q3" t="inlineStr">
        <is>
          <t>Scored (all 5 dims)</t>
        </is>
      </c>
      <c r="R3">
        <f>COUNT(K2:K201)</f>
        <v/>
      </c>
    </row>
    <row r="4">
      <c r="A4" t="n">
        <v>3</v>
      </c>
      <c r="K4">
        <f>IF(COUNT(F4:J4)=5,SUM(F4:J4),"")</f>
        <v/>
      </c>
      <c r="L4">
        <f>IF(COUNT(F4:J4)&lt;5,"",IF(AND(COUNTIF(F4:J4,"&gt;=2")=5,G4=3),"YES","no"))</f>
        <v/>
      </c>
      <c r="Q4" t="inlineStr">
        <is>
          <t>AI-Ready</t>
        </is>
      </c>
      <c r="R4">
        <f>COUNTIF(L2:L201,"YES")</f>
        <v/>
      </c>
    </row>
    <row r="5">
      <c r="A5" t="n">
        <v>4</v>
      </c>
      <c r="K5">
        <f>IF(COUNT(F5:J5)=5,SUM(F5:J5),"")</f>
        <v/>
      </c>
      <c r="L5">
        <f>IF(COUNT(F5:J5)&lt;5,"",IF(AND(COUNTIF(F5:J5,"&gt;=2")=5,G5=3),"YES","no"))</f>
        <v/>
      </c>
      <c r="Q5" t="inlineStr">
        <is>
          <t>% AI-Ready of listed</t>
        </is>
      </c>
      <c r="R5" s="3">
        <f>IF(COUNTA(C2:C201)=0,"",COUNTIF(L2:L201,"YES")/COUNTA(C2:C201))</f>
        <v/>
      </c>
    </row>
    <row r="6">
      <c r="A6" t="n">
        <v>5</v>
      </c>
      <c r="K6">
        <f>IF(COUNT(F6:J6)=5,SUM(F6:J6),"")</f>
        <v/>
      </c>
      <c r="L6">
        <f>IF(COUNT(F6:J6)&lt;5,"",IF(AND(COUNTIF(F6:J6,"&gt;=2")=5,G6=3),"YES","no"))</f>
        <v/>
      </c>
      <c r="Q6" t="inlineStr">
        <is>
          <t>Stewards confirmed (D3≥2)</t>
        </is>
      </c>
      <c r="R6">
        <f>COUNTIF(H2:H201,"&gt;=2")</f>
        <v/>
      </c>
    </row>
    <row r="7">
      <c r="A7" t="n">
        <v>6</v>
      </c>
      <c r="K7">
        <f>IF(COUNT(F7:J7)=5,SUM(F7:J7),"")</f>
        <v/>
      </c>
      <c r="L7">
        <f>IF(COUNT(F7:J7)&lt;5,"",IF(AND(COUNTIF(F7:J7,"&gt;=2")=5,G7=3),"YES","no"))</f>
        <v/>
      </c>
      <c r="Q7" t="inlineStr">
        <is>
          <t>UAT passed</t>
        </is>
      </c>
      <c r="R7">
        <f>COUNTIF(N2:N201,"Pass")</f>
        <v/>
      </c>
    </row>
    <row r="8">
      <c r="A8" t="n">
        <v>7</v>
      </c>
      <c r="K8">
        <f>IF(COUNT(F8:J8)=5,SUM(F8:J8),"")</f>
        <v/>
      </c>
      <c r="L8">
        <f>IF(COUNT(F8:J8)&lt;5,"",IF(AND(COUNTIF(F8:J8,"&gt;=2")=5,G8=3),"YES","no"))</f>
        <v/>
      </c>
      <c r="Q8" t="inlineStr">
        <is>
          <t>Status — Not started</t>
        </is>
      </c>
      <c r="R8">
        <f>COUNTIF(M2:M201,"Not started")</f>
        <v/>
      </c>
    </row>
    <row r="9">
      <c r="A9" t="n">
        <v>8</v>
      </c>
      <c r="K9">
        <f>IF(COUNT(F9:J9)=5,SUM(F9:J9),"")</f>
        <v/>
      </c>
      <c r="L9">
        <f>IF(COUNT(F9:J9)&lt;5,"",IF(AND(COUNTIF(F9:J9,"&gt;=2")=5,G9=3),"YES","no"))</f>
        <v/>
      </c>
      <c r="Q9" t="inlineStr">
        <is>
          <t>Status — AI draft</t>
        </is>
      </c>
      <c r="R9">
        <f>COUNTIF(M2:M201,"AI draft")</f>
        <v/>
      </c>
    </row>
    <row r="10">
      <c r="A10" t="n">
        <v>9</v>
      </c>
      <c r="K10">
        <f>IF(COUNT(F10:J10)=5,SUM(F10:J10),"")</f>
        <v/>
      </c>
      <c r="L10">
        <f>IF(COUNT(F10:J10)&lt;5,"",IF(AND(COUNTIF(F10:J10,"&gt;=2")=5,G10=3),"YES","no"))</f>
        <v/>
      </c>
      <c r="Q10" t="inlineStr">
        <is>
          <t>Status — In review</t>
        </is>
      </c>
      <c r="R10">
        <f>COUNTIF(M2:M201,"In review")</f>
        <v/>
      </c>
    </row>
    <row r="11">
      <c r="A11" t="n">
        <v>10</v>
      </c>
      <c r="K11">
        <f>IF(COUNT(F11:J11)=5,SUM(F11:J11),"")</f>
        <v/>
      </c>
      <c r="L11">
        <f>IF(COUNT(F11:J11)&lt;5,"",IF(AND(COUNTIF(F11:J11,"&gt;=2")=5,G11=3),"YES","no"))</f>
        <v/>
      </c>
      <c r="Q11" t="inlineStr">
        <is>
          <t>Status — Approved</t>
        </is>
      </c>
      <c r="R11">
        <f>COUNTIF(M2:M201,"Approved")</f>
        <v/>
      </c>
    </row>
    <row r="12">
      <c r="A12" t="n">
        <v>11</v>
      </c>
      <c r="K12">
        <f>IF(COUNT(F12:J12)=5,SUM(F12:J12),"")</f>
        <v/>
      </c>
      <c r="L12">
        <f>IF(COUNT(F12:J12)&lt;5,"",IF(AND(COUNTIF(F12:J12,"&gt;=2")=5,G12=3),"YES","no"))</f>
        <v/>
      </c>
      <c r="Q12" t="inlineStr">
        <is>
          <t>Status — Published</t>
        </is>
      </c>
      <c r="R12">
        <f>COUNTIF(M2:M201,"Published")</f>
        <v/>
      </c>
    </row>
    <row r="13">
      <c r="A13" t="n">
        <v>12</v>
      </c>
      <c r="K13">
        <f>IF(COUNT(F13:J13)=5,SUM(F13:J13),"")</f>
        <v/>
      </c>
      <c r="L13">
        <f>IF(COUNT(F13:J13)&lt;5,"",IF(AND(COUNTIF(F13:J13,"&gt;=2")=5,G13=3),"YES","no"))</f>
        <v/>
      </c>
      <c r="Q13" t="inlineStr">
        <is>
          <t>Status — Deprecated</t>
        </is>
      </c>
      <c r="R13">
        <f>COUNTIF(M2:M201,"Deprecated")</f>
        <v/>
      </c>
    </row>
    <row r="14">
      <c r="A14" t="n">
        <v>13</v>
      </c>
      <c r="K14">
        <f>IF(COUNT(F14:J14)=5,SUM(F14:J14),"")</f>
        <v/>
      </c>
      <c r="L14">
        <f>IF(COUNT(F14:J14)&lt;5,"",IF(AND(COUNTIF(F14:J14,"&gt;=2")=5,G14=3),"YES","no"))</f>
        <v/>
      </c>
      <c r="Q14" t="inlineStr">
        <is>
          <t>Status — Out of scope</t>
        </is>
      </c>
      <c r="R14">
        <f>COUNTIF(M2:M201,"Out of scope")</f>
        <v/>
      </c>
    </row>
    <row r="15">
      <c r="A15" t="n">
        <v>14</v>
      </c>
      <c r="K15">
        <f>IF(COUNT(F15:J15)=5,SUM(F15:J15),"")</f>
        <v/>
      </c>
      <c r="L15">
        <f>IF(COUNT(F15:J15)&lt;5,"",IF(AND(COUNTIF(F15:J15,"&gt;=2")=5,G15=3),"YES","no"))</f>
        <v/>
      </c>
    </row>
    <row r="16">
      <c r="A16" t="n">
        <v>15</v>
      </c>
      <c r="K16">
        <f>IF(COUNT(F16:J16)=5,SUM(F16:J16),"")</f>
        <v/>
      </c>
      <c r="L16">
        <f>IF(COUNT(F16:J16)&lt;5,"",IF(AND(COUNTIF(F16:J16,"&gt;=2")=5,G16=3),"YES","no"))</f>
        <v/>
      </c>
    </row>
    <row r="17">
      <c r="A17" t="n">
        <v>16</v>
      </c>
      <c r="K17">
        <f>IF(COUNT(F17:J17)=5,SUM(F17:J17),"")</f>
        <v/>
      </c>
      <c r="L17">
        <f>IF(COUNT(F17:J17)&lt;5,"",IF(AND(COUNTIF(F17:J17,"&gt;=2")=5,G17=3),"YES","no"))</f>
        <v/>
      </c>
    </row>
    <row r="18">
      <c r="A18" t="n">
        <v>17</v>
      </c>
      <c r="K18">
        <f>IF(COUNT(F18:J18)=5,SUM(F18:J18),"")</f>
        <v/>
      </c>
      <c r="L18">
        <f>IF(COUNT(F18:J18)&lt;5,"",IF(AND(COUNTIF(F18:J18,"&gt;=2")=5,G18=3),"YES","no"))</f>
        <v/>
      </c>
    </row>
    <row r="19">
      <c r="A19" t="n">
        <v>18</v>
      </c>
      <c r="K19">
        <f>IF(COUNT(F19:J19)=5,SUM(F19:J19),"")</f>
        <v/>
      </c>
      <c r="L19">
        <f>IF(COUNT(F19:J19)&lt;5,"",IF(AND(COUNTIF(F19:J19,"&gt;=2")=5,G19=3),"YES","no"))</f>
        <v/>
      </c>
    </row>
    <row r="20">
      <c r="A20" t="n">
        <v>19</v>
      </c>
      <c r="K20">
        <f>IF(COUNT(F20:J20)=5,SUM(F20:J20),"")</f>
        <v/>
      </c>
      <c r="L20">
        <f>IF(COUNT(F20:J20)&lt;5,"",IF(AND(COUNTIF(F20:J20,"&gt;=2")=5,G20=3),"YES","no"))</f>
        <v/>
      </c>
    </row>
    <row r="21">
      <c r="A21" t="n">
        <v>20</v>
      </c>
      <c r="K21">
        <f>IF(COUNT(F21:J21)=5,SUM(F21:J21),"")</f>
        <v/>
      </c>
      <c r="L21">
        <f>IF(COUNT(F21:J21)&lt;5,"",IF(AND(COUNTIF(F21:J21,"&gt;=2")=5,G21=3),"YES","no"))</f>
        <v/>
      </c>
    </row>
    <row r="22">
      <c r="A22" t="n">
        <v>21</v>
      </c>
      <c r="K22">
        <f>IF(COUNT(F22:J22)=5,SUM(F22:J22),"")</f>
        <v/>
      </c>
      <c r="L22">
        <f>IF(COUNT(F22:J22)&lt;5,"",IF(AND(COUNTIF(F22:J22,"&gt;=2")=5,G22=3),"YES","no"))</f>
        <v/>
      </c>
    </row>
    <row r="23">
      <c r="A23" t="n">
        <v>22</v>
      </c>
      <c r="K23">
        <f>IF(COUNT(F23:J23)=5,SUM(F23:J23),"")</f>
        <v/>
      </c>
      <c r="L23">
        <f>IF(COUNT(F23:J23)&lt;5,"",IF(AND(COUNTIF(F23:J23,"&gt;=2")=5,G23=3),"YES","no"))</f>
        <v/>
      </c>
    </row>
    <row r="24">
      <c r="A24" t="n">
        <v>23</v>
      </c>
      <c r="K24">
        <f>IF(COUNT(F24:J24)=5,SUM(F24:J24),"")</f>
        <v/>
      </c>
      <c r="L24">
        <f>IF(COUNT(F24:J24)&lt;5,"",IF(AND(COUNTIF(F24:J24,"&gt;=2")=5,G24=3),"YES","no"))</f>
        <v/>
      </c>
    </row>
    <row r="25">
      <c r="A25" t="n">
        <v>24</v>
      </c>
      <c r="K25">
        <f>IF(COUNT(F25:J25)=5,SUM(F25:J25),"")</f>
        <v/>
      </c>
      <c r="L25">
        <f>IF(COUNT(F25:J25)&lt;5,"",IF(AND(COUNTIF(F25:J25,"&gt;=2")=5,G25=3),"YES","no"))</f>
        <v/>
      </c>
    </row>
    <row r="26">
      <c r="A26" t="n">
        <v>25</v>
      </c>
      <c r="K26">
        <f>IF(COUNT(F26:J26)=5,SUM(F26:J26),"")</f>
        <v/>
      </c>
      <c r="L26">
        <f>IF(COUNT(F26:J26)&lt;5,"",IF(AND(COUNTIF(F26:J26,"&gt;=2")=5,G26=3),"YES","no"))</f>
        <v/>
      </c>
    </row>
    <row r="27">
      <c r="A27" t="n">
        <v>26</v>
      </c>
      <c r="K27">
        <f>IF(COUNT(F27:J27)=5,SUM(F27:J27),"")</f>
        <v/>
      </c>
      <c r="L27">
        <f>IF(COUNT(F27:J27)&lt;5,"",IF(AND(COUNTIF(F27:J27,"&gt;=2")=5,G27=3),"YES","no"))</f>
        <v/>
      </c>
    </row>
    <row r="28">
      <c r="A28" t="n">
        <v>27</v>
      </c>
      <c r="K28">
        <f>IF(COUNT(F28:J28)=5,SUM(F28:J28),"")</f>
        <v/>
      </c>
      <c r="L28">
        <f>IF(COUNT(F28:J28)&lt;5,"",IF(AND(COUNTIF(F28:J28,"&gt;=2")=5,G28=3),"YES","no"))</f>
        <v/>
      </c>
    </row>
    <row r="29">
      <c r="A29" t="n">
        <v>28</v>
      </c>
      <c r="K29">
        <f>IF(COUNT(F29:J29)=5,SUM(F29:J29),"")</f>
        <v/>
      </c>
      <c r="L29">
        <f>IF(COUNT(F29:J29)&lt;5,"",IF(AND(COUNTIF(F29:J29,"&gt;=2")=5,G29=3),"YES","no"))</f>
        <v/>
      </c>
    </row>
    <row r="30">
      <c r="A30" t="n">
        <v>29</v>
      </c>
      <c r="K30">
        <f>IF(COUNT(F30:J30)=5,SUM(F30:J30),"")</f>
        <v/>
      </c>
      <c r="L30">
        <f>IF(COUNT(F30:J30)&lt;5,"",IF(AND(COUNTIF(F30:J30,"&gt;=2")=5,G30=3),"YES","no"))</f>
        <v/>
      </c>
    </row>
    <row r="31">
      <c r="A31" t="n">
        <v>30</v>
      </c>
      <c r="K31">
        <f>IF(COUNT(F31:J31)=5,SUM(F31:J31),"")</f>
        <v/>
      </c>
      <c r="L31">
        <f>IF(COUNT(F31:J31)&lt;5,"",IF(AND(COUNTIF(F31:J31,"&gt;=2")=5,G31=3),"YES","no"))</f>
        <v/>
      </c>
    </row>
    <row r="32">
      <c r="A32" t="n">
        <v>31</v>
      </c>
      <c r="K32">
        <f>IF(COUNT(F32:J32)=5,SUM(F32:J32),"")</f>
        <v/>
      </c>
      <c r="L32">
        <f>IF(COUNT(F32:J32)&lt;5,"",IF(AND(COUNTIF(F32:J32,"&gt;=2")=5,G32=3),"YES","no"))</f>
        <v/>
      </c>
    </row>
    <row r="33">
      <c r="A33" t="n">
        <v>32</v>
      </c>
      <c r="K33">
        <f>IF(COUNT(F33:J33)=5,SUM(F33:J33),"")</f>
        <v/>
      </c>
      <c r="L33">
        <f>IF(COUNT(F33:J33)&lt;5,"",IF(AND(COUNTIF(F33:J33,"&gt;=2")=5,G33=3),"YES","no"))</f>
        <v/>
      </c>
    </row>
    <row r="34">
      <c r="A34" t="n">
        <v>33</v>
      </c>
      <c r="K34">
        <f>IF(COUNT(F34:J34)=5,SUM(F34:J34),"")</f>
        <v/>
      </c>
      <c r="L34">
        <f>IF(COUNT(F34:J34)&lt;5,"",IF(AND(COUNTIF(F34:J34,"&gt;=2")=5,G34=3),"YES","no"))</f>
        <v/>
      </c>
    </row>
    <row r="35">
      <c r="A35" t="n">
        <v>34</v>
      </c>
      <c r="K35">
        <f>IF(COUNT(F35:J35)=5,SUM(F35:J35),"")</f>
        <v/>
      </c>
      <c r="L35">
        <f>IF(COUNT(F35:J35)&lt;5,"",IF(AND(COUNTIF(F35:J35,"&gt;=2")=5,G35=3),"YES","no"))</f>
        <v/>
      </c>
    </row>
    <row r="36">
      <c r="A36" t="n">
        <v>35</v>
      </c>
      <c r="K36">
        <f>IF(COUNT(F36:J36)=5,SUM(F36:J36),"")</f>
        <v/>
      </c>
      <c r="L36">
        <f>IF(COUNT(F36:J36)&lt;5,"",IF(AND(COUNTIF(F36:J36,"&gt;=2")=5,G36=3),"YES","no"))</f>
        <v/>
      </c>
    </row>
    <row r="37">
      <c r="A37" t="n">
        <v>36</v>
      </c>
      <c r="K37">
        <f>IF(COUNT(F37:J37)=5,SUM(F37:J37),"")</f>
        <v/>
      </c>
      <c r="L37">
        <f>IF(COUNT(F37:J37)&lt;5,"",IF(AND(COUNTIF(F37:J37,"&gt;=2")=5,G37=3),"YES","no"))</f>
        <v/>
      </c>
    </row>
    <row r="38">
      <c r="A38" t="n">
        <v>37</v>
      </c>
      <c r="K38">
        <f>IF(COUNT(F38:J38)=5,SUM(F38:J38),"")</f>
        <v/>
      </c>
      <c r="L38">
        <f>IF(COUNT(F38:J38)&lt;5,"",IF(AND(COUNTIF(F38:J38,"&gt;=2")=5,G38=3),"YES","no"))</f>
        <v/>
      </c>
    </row>
    <row r="39">
      <c r="A39" t="n">
        <v>38</v>
      </c>
      <c r="K39">
        <f>IF(COUNT(F39:J39)=5,SUM(F39:J39),"")</f>
        <v/>
      </c>
      <c r="L39">
        <f>IF(COUNT(F39:J39)&lt;5,"",IF(AND(COUNTIF(F39:J39,"&gt;=2")=5,G39=3),"YES","no"))</f>
        <v/>
      </c>
    </row>
    <row r="40">
      <c r="A40" t="n">
        <v>39</v>
      </c>
      <c r="K40">
        <f>IF(COUNT(F40:J40)=5,SUM(F40:J40),"")</f>
        <v/>
      </c>
      <c r="L40">
        <f>IF(COUNT(F40:J40)&lt;5,"",IF(AND(COUNTIF(F40:J40,"&gt;=2")=5,G40=3),"YES","no"))</f>
        <v/>
      </c>
    </row>
    <row r="41">
      <c r="A41" t="n">
        <v>40</v>
      </c>
      <c r="K41">
        <f>IF(COUNT(F41:J41)=5,SUM(F41:J41),"")</f>
        <v/>
      </c>
      <c r="L41">
        <f>IF(COUNT(F41:J41)&lt;5,"",IF(AND(COUNTIF(F41:J41,"&gt;=2")=5,G41=3),"YES","no"))</f>
        <v/>
      </c>
    </row>
    <row r="42">
      <c r="A42" t="n">
        <v>41</v>
      </c>
      <c r="K42">
        <f>IF(COUNT(F42:J42)=5,SUM(F42:J42),"")</f>
        <v/>
      </c>
      <c r="L42">
        <f>IF(COUNT(F42:J42)&lt;5,"",IF(AND(COUNTIF(F42:J42,"&gt;=2")=5,G42=3),"YES","no"))</f>
        <v/>
      </c>
    </row>
    <row r="43">
      <c r="A43" t="n">
        <v>42</v>
      </c>
      <c r="K43">
        <f>IF(COUNT(F43:J43)=5,SUM(F43:J43),"")</f>
        <v/>
      </c>
      <c r="L43">
        <f>IF(COUNT(F43:J43)&lt;5,"",IF(AND(COUNTIF(F43:J43,"&gt;=2")=5,G43=3),"YES","no"))</f>
        <v/>
      </c>
    </row>
    <row r="44">
      <c r="A44" t="n">
        <v>43</v>
      </c>
      <c r="K44">
        <f>IF(COUNT(F44:J44)=5,SUM(F44:J44),"")</f>
        <v/>
      </c>
      <c r="L44">
        <f>IF(COUNT(F44:J44)&lt;5,"",IF(AND(COUNTIF(F44:J44,"&gt;=2")=5,G44=3),"YES","no"))</f>
        <v/>
      </c>
    </row>
    <row r="45">
      <c r="A45" t="n">
        <v>44</v>
      </c>
      <c r="K45">
        <f>IF(COUNT(F45:J45)=5,SUM(F45:J45),"")</f>
        <v/>
      </c>
      <c r="L45">
        <f>IF(COUNT(F45:J45)&lt;5,"",IF(AND(COUNTIF(F45:J45,"&gt;=2")=5,G45=3),"YES","no"))</f>
        <v/>
      </c>
    </row>
    <row r="46">
      <c r="A46" t="n">
        <v>45</v>
      </c>
      <c r="K46">
        <f>IF(COUNT(F46:J46)=5,SUM(F46:J46),"")</f>
        <v/>
      </c>
      <c r="L46">
        <f>IF(COUNT(F46:J46)&lt;5,"",IF(AND(COUNTIF(F46:J46,"&gt;=2")=5,G46=3),"YES","no"))</f>
        <v/>
      </c>
    </row>
    <row r="47">
      <c r="A47" t="n">
        <v>46</v>
      </c>
      <c r="K47">
        <f>IF(COUNT(F47:J47)=5,SUM(F47:J47),"")</f>
        <v/>
      </c>
      <c r="L47">
        <f>IF(COUNT(F47:J47)&lt;5,"",IF(AND(COUNTIF(F47:J47,"&gt;=2")=5,G47=3),"YES","no"))</f>
        <v/>
      </c>
    </row>
    <row r="48">
      <c r="A48" t="n">
        <v>47</v>
      </c>
      <c r="K48">
        <f>IF(COUNT(F48:J48)=5,SUM(F48:J48),"")</f>
        <v/>
      </c>
      <c r="L48">
        <f>IF(COUNT(F48:J48)&lt;5,"",IF(AND(COUNTIF(F48:J48,"&gt;=2")=5,G48=3),"YES","no"))</f>
        <v/>
      </c>
    </row>
    <row r="49">
      <c r="A49" t="n">
        <v>48</v>
      </c>
      <c r="K49">
        <f>IF(COUNT(F49:J49)=5,SUM(F49:J49),"")</f>
        <v/>
      </c>
      <c r="L49">
        <f>IF(COUNT(F49:J49)&lt;5,"",IF(AND(COUNTIF(F49:J49,"&gt;=2")=5,G49=3),"YES","no"))</f>
        <v/>
      </c>
    </row>
    <row r="50">
      <c r="A50" t="n">
        <v>49</v>
      </c>
      <c r="K50">
        <f>IF(COUNT(F50:J50)=5,SUM(F50:J50),"")</f>
        <v/>
      </c>
      <c r="L50">
        <f>IF(COUNT(F50:J50)&lt;5,"",IF(AND(COUNTIF(F50:J50,"&gt;=2")=5,G50=3),"YES","no"))</f>
        <v/>
      </c>
    </row>
    <row r="51">
      <c r="A51" t="n">
        <v>50</v>
      </c>
      <c r="K51">
        <f>IF(COUNT(F51:J51)=5,SUM(F51:J51),"")</f>
        <v/>
      </c>
      <c r="L51">
        <f>IF(COUNT(F51:J51)&lt;5,"",IF(AND(COUNTIF(F51:J51,"&gt;=2")=5,G51=3),"YES","no"))</f>
        <v/>
      </c>
    </row>
    <row r="52">
      <c r="A52" t="n">
        <v>51</v>
      </c>
      <c r="K52">
        <f>IF(COUNT(F52:J52)=5,SUM(F52:J52),"")</f>
        <v/>
      </c>
      <c r="L52">
        <f>IF(COUNT(F52:J52)&lt;5,"",IF(AND(COUNTIF(F52:J52,"&gt;=2")=5,G52=3),"YES","no"))</f>
        <v/>
      </c>
    </row>
    <row r="53">
      <c r="A53" t="n">
        <v>52</v>
      </c>
      <c r="K53">
        <f>IF(COUNT(F53:J53)=5,SUM(F53:J53),"")</f>
        <v/>
      </c>
      <c r="L53">
        <f>IF(COUNT(F53:J53)&lt;5,"",IF(AND(COUNTIF(F53:J53,"&gt;=2")=5,G53=3),"YES","no"))</f>
        <v/>
      </c>
    </row>
    <row r="54">
      <c r="A54" t="n">
        <v>53</v>
      </c>
      <c r="K54">
        <f>IF(COUNT(F54:J54)=5,SUM(F54:J54),"")</f>
        <v/>
      </c>
      <c r="L54">
        <f>IF(COUNT(F54:J54)&lt;5,"",IF(AND(COUNTIF(F54:J54,"&gt;=2")=5,G54=3),"YES","no"))</f>
        <v/>
      </c>
    </row>
    <row r="55">
      <c r="A55" t="n">
        <v>54</v>
      </c>
      <c r="K55">
        <f>IF(COUNT(F55:J55)=5,SUM(F55:J55),"")</f>
        <v/>
      </c>
      <c r="L55">
        <f>IF(COUNT(F55:J55)&lt;5,"",IF(AND(COUNTIF(F55:J55,"&gt;=2")=5,G55=3),"YES","no"))</f>
        <v/>
      </c>
    </row>
    <row r="56">
      <c r="A56" t="n">
        <v>55</v>
      </c>
      <c r="K56">
        <f>IF(COUNT(F56:J56)=5,SUM(F56:J56),"")</f>
        <v/>
      </c>
      <c r="L56">
        <f>IF(COUNT(F56:J56)&lt;5,"",IF(AND(COUNTIF(F56:J56,"&gt;=2")=5,G56=3),"YES","no"))</f>
        <v/>
      </c>
    </row>
    <row r="57">
      <c r="A57" t="n">
        <v>56</v>
      </c>
      <c r="K57">
        <f>IF(COUNT(F57:J57)=5,SUM(F57:J57),"")</f>
        <v/>
      </c>
      <c r="L57">
        <f>IF(COUNT(F57:J57)&lt;5,"",IF(AND(COUNTIF(F57:J57,"&gt;=2")=5,G57=3),"YES","no"))</f>
        <v/>
      </c>
    </row>
    <row r="58">
      <c r="A58" t="n">
        <v>57</v>
      </c>
      <c r="K58">
        <f>IF(COUNT(F58:J58)=5,SUM(F58:J58),"")</f>
        <v/>
      </c>
      <c r="L58">
        <f>IF(COUNT(F58:J58)&lt;5,"",IF(AND(COUNTIF(F58:J58,"&gt;=2")=5,G58=3),"YES","no"))</f>
        <v/>
      </c>
    </row>
    <row r="59">
      <c r="A59" t="n">
        <v>58</v>
      </c>
      <c r="K59">
        <f>IF(COUNT(F59:J59)=5,SUM(F59:J59),"")</f>
        <v/>
      </c>
      <c r="L59">
        <f>IF(COUNT(F59:J59)&lt;5,"",IF(AND(COUNTIF(F59:J59,"&gt;=2")=5,G59=3),"YES","no"))</f>
        <v/>
      </c>
    </row>
    <row r="60">
      <c r="A60" t="n">
        <v>59</v>
      </c>
      <c r="K60">
        <f>IF(COUNT(F60:J60)=5,SUM(F60:J60),"")</f>
        <v/>
      </c>
      <c r="L60">
        <f>IF(COUNT(F60:J60)&lt;5,"",IF(AND(COUNTIF(F60:J60,"&gt;=2")=5,G60=3),"YES","no"))</f>
        <v/>
      </c>
    </row>
    <row r="61">
      <c r="A61" t="n">
        <v>60</v>
      </c>
      <c r="K61">
        <f>IF(COUNT(F61:J61)=5,SUM(F61:J61),"")</f>
        <v/>
      </c>
      <c r="L61">
        <f>IF(COUNT(F61:J61)&lt;5,"",IF(AND(COUNTIF(F61:J61,"&gt;=2")=5,G61=3),"YES","no"))</f>
        <v/>
      </c>
    </row>
    <row r="62">
      <c r="A62" t="n">
        <v>61</v>
      </c>
      <c r="K62">
        <f>IF(COUNT(F62:J62)=5,SUM(F62:J62),"")</f>
        <v/>
      </c>
      <c r="L62">
        <f>IF(COUNT(F62:J62)&lt;5,"",IF(AND(COUNTIF(F62:J62,"&gt;=2")=5,G62=3),"YES","no"))</f>
        <v/>
      </c>
    </row>
    <row r="63">
      <c r="A63" t="n">
        <v>62</v>
      </c>
      <c r="K63">
        <f>IF(COUNT(F63:J63)=5,SUM(F63:J63),"")</f>
        <v/>
      </c>
      <c r="L63">
        <f>IF(COUNT(F63:J63)&lt;5,"",IF(AND(COUNTIF(F63:J63,"&gt;=2")=5,G63=3),"YES","no"))</f>
        <v/>
      </c>
    </row>
    <row r="64">
      <c r="A64" t="n">
        <v>63</v>
      </c>
      <c r="K64">
        <f>IF(COUNT(F64:J64)=5,SUM(F64:J64),"")</f>
        <v/>
      </c>
      <c r="L64">
        <f>IF(COUNT(F64:J64)&lt;5,"",IF(AND(COUNTIF(F64:J64,"&gt;=2")=5,G64=3),"YES","no"))</f>
        <v/>
      </c>
    </row>
    <row r="65">
      <c r="A65" t="n">
        <v>64</v>
      </c>
      <c r="K65">
        <f>IF(COUNT(F65:J65)=5,SUM(F65:J65),"")</f>
        <v/>
      </c>
      <c r="L65">
        <f>IF(COUNT(F65:J65)&lt;5,"",IF(AND(COUNTIF(F65:J65,"&gt;=2")=5,G65=3),"YES","no"))</f>
        <v/>
      </c>
    </row>
    <row r="66">
      <c r="A66" t="n">
        <v>65</v>
      </c>
      <c r="K66">
        <f>IF(COUNT(F66:J66)=5,SUM(F66:J66),"")</f>
        <v/>
      </c>
      <c r="L66">
        <f>IF(COUNT(F66:J66)&lt;5,"",IF(AND(COUNTIF(F66:J66,"&gt;=2")=5,G66=3),"YES","no"))</f>
        <v/>
      </c>
    </row>
    <row r="67">
      <c r="A67" t="n">
        <v>66</v>
      </c>
      <c r="K67">
        <f>IF(COUNT(F67:J67)=5,SUM(F67:J67),"")</f>
        <v/>
      </c>
      <c r="L67">
        <f>IF(COUNT(F67:J67)&lt;5,"",IF(AND(COUNTIF(F67:J67,"&gt;=2")=5,G67=3),"YES","no"))</f>
        <v/>
      </c>
    </row>
    <row r="68">
      <c r="A68" t="n">
        <v>67</v>
      </c>
      <c r="K68">
        <f>IF(COUNT(F68:J68)=5,SUM(F68:J68),"")</f>
        <v/>
      </c>
      <c r="L68">
        <f>IF(COUNT(F68:J68)&lt;5,"",IF(AND(COUNTIF(F68:J68,"&gt;=2")=5,G68=3),"YES","no"))</f>
        <v/>
      </c>
    </row>
    <row r="69">
      <c r="A69" t="n">
        <v>68</v>
      </c>
      <c r="K69">
        <f>IF(COUNT(F69:J69)=5,SUM(F69:J69),"")</f>
        <v/>
      </c>
      <c r="L69">
        <f>IF(COUNT(F69:J69)&lt;5,"",IF(AND(COUNTIF(F69:J69,"&gt;=2")=5,G69=3),"YES","no"))</f>
        <v/>
      </c>
    </row>
    <row r="70">
      <c r="A70" t="n">
        <v>69</v>
      </c>
      <c r="K70">
        <f>IF(COUNT(F70:J70)=5,SUM(F70:J70),"")</f>
        <v/>
      </c>
      <c r="L70">
        <f>IF(COUNT(F70:J70)&lt;5,"",IF(AND(COUNTIF(F70:J70,"&gt;=2")=5,G70=3),"YES","no"))</f>
        <v/>
      </c>
    </row>
    <row r="71">
      <c r="A71" t="n">
        <v>70</v>
      </c>
      <c r="K71">
        <f>IF(COUNT(F71:J71)=5,SUM(F71:J71),"")</f>
        <v/>
      </c>
      <c r="L71">
        <f>IF(COUNT(F71:J71)&lt;5,"",IF(AND(COUNTIF(F71:J71,"&gt;=2")=5,G71=3),"YES","no"))</f>
        <v/>
      </c>
    </row>
    <row r="72">
      <c r="A72" t="n">
        <v>71</v>
      </c>
      <c r="K72">
        <f>IF(COUNT(F72:J72)=5,SUM(F72:J72),"")</f>
        <v/>
      </c>
      <c r="L72">
        <f>IF(COUNT(F72:J72)&lt;5,"",IF(AND(COUNTIF(F72:J72,"&gt;=2")=5,G72=3),"YES","no"))</f>
        <v/>
      </c>
    </row>
    <row r="73">
      <c r="A73" t="n">
        <v>72</v>
      </c>
      <c r="K73">
        <f>IF(COUNT(F73:J73)=5,SUM(F73:J73),"")</f>
        <v/>
      </c>
      <c r="L73">
        <f>IF(COUNT(F73:J73)&lt;5,"",IF(AND(COUNTIF(F73:J73,"&gt;=2")=5,G73=3),"YES","no"))</f>
        <v/>
      </c>
    </row>
    <row r="74">
      <c r="A74" t="n">
        <v>73</v>
      </c>
      <c r="K74">
        <f>IF(COUNT(F74:J74)=5,SUM(F74:J74),"")</f>
        <v/>
      </c>
      <c r="L74">
        <f>IF(COUNT(F74:J74)&lt;5,"",IF(AND(COUNTIF(F74:J74,"&gt;=2")=5,G74=3),"YES","no"))</f>
        <v/>
      </c>
    </row>
    <row r="75">
      <c r="A75" t="n">
        <v>74</v>
      </c>
      <c r="K75">
        <f>IF(COUNT(F75:J75)=5,SUM(F75:J75),"")</f>
        <v/>
      </c>
      <c r="L75">
        <f>IF(COUNT(F75:J75)&lt;5,"",IF(AND(COUNTIF(F75:J75,"&gt;=2")=5,G75=3),"YES","no"))</f>
        <v/>
      </c>
    </row>
    <row r="76">
      <c r="A76" t="n">
        <v>75</v>
      </c>
      <c r="K76">
        <f>IF(COUNT(F76:J76)=5,SUM(F76:J76),"")</f>
        <v/>
      </c>
      <c r="L76">
        <f>IF(COUNT(F76:J76)&lt;5,"",IF(AND(COUNTIF(F76:J76,"&gt;=2")=5,G76=3),"YES","no"))</f>
        <v/>
      </c>
    </row>
    <row r="77">
      <c r="A77" t="n">
        <v>76</v>
      </c>
      <c r="K77">
        <f>IF(COUNT(F77:J77)=5,SUM(F77:J77),"")</f>
        <v/>
      </c>
      <c r="L77">
        <f>IF(COUNT(F77:J77)&lt;5,"",IF(AND(COUNTIF(F77:J77,"&gt;=2")=5,G77=3),"YES","no"))</f>
        <v/>
      </c>
    </row>
    <row r="78">
      <c r="A78" t="n">
        <v>77</v>
      </c>
      <c r="K78">
        <f>IF(COUNT(F78:J78)=5,SUM(F78:J78),"")</f>
        <v/>
      </c>
      <c r="L78">
        <f>IF(COUNT(F78:J78)&lt;5,"",IF(AND(COUNTIF(F78:J78,"&gt;=2")=5,G78=3),"YES","no"))</f>
        <v/>
      </c>
    </row>
    <row r="79">
      <c r="A79" t="n">
        <v>78</v>
      </c>
      <c r="K79">
        <f>IF(COUNT(F79:J79)=5,SUM(F79:J79),"")</f>
        <v/>
      </c>
      <c r="L79">
        <f>IF(COUNT(F79:J79)&lt;5,"",IF(AND(COUNTIF(F79:J79,"&gt;=2")=5,G79=3),"YES","no"))</f>
        <v/>
      </c>
    </row>
    <row r="80">
      <c r="A80" t="n">
        <v>79</v>
      </c>
      <c r="K80">
        <f>IF(COUNT(F80:J80)=5,SUM(F80:J80),"")</f>
        <v/>
      </c>
      <c r="L80">
        <f>IF(COUNT(F80:J80)&lt;5,"",IF(AND(COUNTIF(F80:J80,"&gt;=2")=5,G80=3),"YES","no"))</f>
        <v/>
      </c>
    </row>
    <row r="81">
      <c r="A81" t="n">
        <v>80</v>
      </c>
      <c r="K81">
        <f>IF(COUNT(F81:J81)=5,SUM(F81:J81),"")</f>
        <v/>
      </c>
      <c r="L81">
        <f>IF(COUNT(F81:J81)&lt;5,"",IF(AND(COUNTIF(F81:J81,"&gt;=2")=5,G81=3),"YES","no"))</f>
        <v/>
      </c>
    </row>
    <row r="82">
      <c r="A82" t="n">
        <v>81</v>
      </c>
      <c r="K82">
        <f>IF(COUNT(F82:J82)=5,SUM(F82:J82),"")</f>
        <v/>
      </c>
      <c r="L82">
        <f>IF(COUNT(F82:J82)&lt;5,"",IF(AND(COUNTIF(F82:J82,"&gt;=2")=5,G82=3),"YES","no"))</f>
        <v/>
      </c>
    </row>
    <row r="83">
      <c r="A83" t="n">
        <v>82</v>
      </c>
      <c r="K83">
        <f>IF(COUNT(F83:J83)=5,SUM(F83:J83),"")</f>
        <v/>
      </c>
      <c r="L83">
        <f>IF(COUNT(F83:J83)&lt;5,"",IF(AND(COUNTIF(F83:J83,"&gt;=2")=5,G83=3),"YES","no"))</f>
        <v/>
      </c>
    </row>
    <row r="84">
      <c r="A84" t="n">
        <v>83</v>
      </c>
      <c r="K84">
        <f>IF(COUNT(F84:J84)=5,SUM(F84:J84),"")</f>
        <v/>
      </c>
      <c r="L84">
        <f>IF(COUNT(F84:J84)&lt;5,"",IF(AND(COUNTIF(F84:J84,"&gt;=2")=5,G84=3),"YES","no"))</f>
        <v/>
      </c>
    </row>
    <row r="85">
      <c r="A85" t="n">
        <v>84</v>
      </c>
      <c r="K85">
        <f>IF(COUNT(F85:J85)=5,SUM(F85:J85),"")</f>
        <v/>
      </c>
      <c r="L85">
        <f>IF(COUNT(F85:J85)&lt;5,"",IF(AND(COUNTIF(F85:J85,"&gt;=2")=5,G85=3),"YES","no"))</f>
        <v/>
      </c>
    </row>
    <row r="86">
      <c r="A86" t="n">
        <v>85</v>
      </c>
      <c r="K86">
        <f>IF(COUNT(F86:J86)=5,SUM(F86:J86),"")</f>
        <v/>
      </c>
      <c r="L86">
        <f>IF(COUNT(F86:J86)&lt;5,"",IF(AND(COUNTIF(F86:J86,"&gt;=2")=5,G86=3),"YES","no"))</f>
        <v/>
      </c>
    </row>
    <row r="87">
      <c r="A87" t="n">
        <v>86</v>
      </c>
      <c r="K87">
        <f>IF(COUNT(F87:J87)=5,SUM(F87:J87),"")</f>
        <v/>
      </c>
      <c r="L87">
        <f>IF(COUNT(F87:J87)&lt;5,"",IF(AND(COUNTIF(F87:J87,"&gt;=2")=5,G87=3),"YES","no"))</f>
        <v/>
      </c>
    </row>
    <row r="88">
      <c r="A88" t="n">
        <v>87</v>
      </c>
      <c r="K88">
        <f>IF(COUNT(F88:J88)=5,SUM(F88:J88),"")</f>
        <v/>
      </c>
      <c r="L88">
        <f>IF(COUNT(F88:J88)&lt;5,"",IF(AND(COUNTIF(F88:J88,"&gt;=2")=5,G88=3),"YES","no"))</f>
        <v/>
      </c>
    </row>
    <row r="89">
      <c r="A89" t="n">
        <v>88</v>
      </c>
      <c r="K89">
        <f>IF(COUNT(F89:J89)=5,SUM(F89:J89),"")</f>
        <v/>
      </c>
      <c r="L89">
        <f>IF(COUNT(F89:J89)&lt;5,"",IF(AND(COUNTIF(F89:J89,"&gt;=2")=5,G89=3),"YES","no"))</f>
        <v/>
      </c>
    </row>
    <row r="90">
      <c r="A90" t="n">
        <v>89</v>
      </c>
      <c r="K90">
        <f>IF(COUNT(F90:J90)=5,SUM(F90:J90),"")</f>
        <v/>
      </c>
      <c r="L90">
        <f>IF(COUNT(F90:J90)&lt;5,"",IF(AND(COUNTIF(F90:J90,"&gt;=2")=5,G90=3),"YES","no"))</f>
        <v/>
      </c>
    </row>
    <row r="91">
      <c r="A91" t="n">
        <v>90</v>
      </c>
      <c r="K91">
        <f>IF(COUNT(F91:J91)=5,SUM(F91:J91),"")</f>
        <v/>
      </c>
      <c r="L91">
        <f>IF(COUNT(F91:J91)&lt;5,"",IF(AND(COUNTIF(F91:J91,"&gt;=2")=5,G91=3),"YES","no"))</f>
        <v/>
      </c>
    </row>
    <row r="92">
      <c r="A92" t="n">
        <v>91</v>
      </c>
      <c r="K92">
        <f>IF(COUNT(F92:J92)=5,SUM(F92:J92),"")</f>
        <v/>
      </c>
      <c r="L92">
        <f>IF(COUNT(F92:J92)&lt;5,"",IF(AND(COUNTIF(F92:J92,"&gt;=2")=5,G92=3),"YES","no"))</f>
        <v/>
      </c>
    </row>
    <row r="93">
      <c r="A93" t="n">
        <v>92</v>
      </c>
      <c r="K93">
        <f>IF(COUNT(F93:J93)=5,SUM(F93:J93),"")</f>
        <v/>
      </c>
      <c r="L93">
        <f>IF(COUNT(F93:J93)&lt;5,"",IF(AND(COUNTIF(F93:J93,"&gt;=2")=5,G93=3),"YES","no"))</f>
        <v/>
      </c>
    </row>
    <row r="94">
      <c r="A94" t="n">
        <v>93</v>
      </c>
      <c r="K94">
        <f>IF(COUNT(F94:J94)=5,SUM(F94:J94),"")</f>
        <v/>
      </c>
      <c r="L94">
        <f>IF(COUNT(F94:J94)&lt;5,"",IF(AND(COUNTIF(F94:J94,"&gt;=2")=5,G94=3),"YES","no"))</f>
        <v/>
      </c>
    </row>
    <row r="95">
      <c r="A95" t="n">
        <v>94</v>
      </c>
      <c r="K95">
        <f>IF(COUNT(F95:J95)=5,SUM(F95:J95),"")</f>
        <v/>
      </c>
      <c r="L95">
        <f>IF(COUNT(F95:J95)&lt;5,"",IF(AND(COUNTIF(F95:J95,"&gt;=2")=5,G95=3),"YES","no"))</f>
        <v/>
      </c>
    </row>
    <row r="96">
      <c r="A96" t="n">
        <v>95</v>
      </c>
      <c r="K96">
        <f>IF(COUNT(F96:J96)=5,SUM(F96:J96),"")</f>
        <v/>
      </c>
      <c r="L96">
        <f>IF(COUNT(F96:J96)&lt;5,"",IF(AND(COUNTIF(F96:J96,"&gt;=2")=5,G96=3),"YES","no"))</f>
        <v/>
      </c>
    </row>
    <row r="97">
      <c r="A97" t="n">
        <v>96</v>
      </c>
      <c r="K97">
        <f>IF(COUNT(F97:J97)=5,SUM(F97:J97),"")</f>
        <v/>
      </c>
      <c r="L97">
        <f>IF(COUNT(F97:J97)&lt;5,"",IF(AND(COUNTIF(F97:J97,"&gt;=2")=5,G97=3),"YES","no"))</f>
        <v/>
      </c>
    </row>
    <row r="98">
      <c r="A98" t="n">
        <v>97</v>
      </c>
      <c r="K98">
        <f>IF(COUNT(F98:J98)=5,SUM(F98:J98),"")</f>
        <v/>
      </c>
      <c r="L98">
        <f>IF(COUNT(F98:J98)&lt;5,"",IF(AND(COUNTIF(F98:J98,"&gt;=2")=5,G98=3),"YES","no"))</f>
        <v/>
      </c>
    </row>
    <row r="99">
      <c r="A99" t="n">
        <v>98</v>
      </c>
      <c r="K99">
        <f>IF(COUNT(F99:J99)=5,SUM(F99:J99),"")</f>
        <v/>
      </c>
      <c r="L99">
        <f>IF(COUNT(F99:J99)&lt;5,"",IF(AND(COUNTIF(F99:J99,"&gt;=2")=5,G99=3),"YES","no"))</f>
        <v/>
      </c>
    </row>
    <row r="100">
      <c r="A100" t="n">
        <v>99</v>
      </c>
      <c r="K100">
        <f>IF(COUNT(F100:J100)=5,SUM(F100:J100),"")</f>
        <v/>
      </c>
      <c r="L100">
        <f>IF(COUNT(F100:J100)&lt;5,"",IF(AND(COUNTIF(F100:J100,"&gt;=2")=5,G100=3),"YES","no"))</f>
        <v/>
      </c>
    </row>
    <row r="101">
      <c r="A101" t="n">
        <v>100</v>
      </c>
      <c r="K101">
        <f>IF(COUNT(F101:J101)=5,SUM(F101:J101),"")</f>
        <v/>
      </c>
      <c r="L101">
        <f>IF(COUNT(F101:J101)&lt;5,"",IF(AND(COUNTIF(F101:J101,"&gt;=2")=5,G101=3),"YES","no"))</f>
        <v/>
      </c>
    </row>
    <row r="102">
      <c r="A102" t="n">
        <v>101</v>
      </c>
      <c r="K102">
        <f>IF(COUNT(F102:J102)=5,SUM(F102:J102),"")</f>
        <v/>
      </c>
      <c r="L102">
        <f>IF(COUNT(F102:J102)&lt;5,"",IF(AND(COUNTIF(F102:J102,"&gt;=2")=5,G102=3),"YES","no"))</f>
        <v/>
      </c>
    </row>
    <row r="103">
      <c r="A103" t="n">
        <v>102</v>
      </c>
      <c r="K103">
        <f>IF(COUNT(F103:J103)=5,SUM(F103:J103),"")</f>
        <v/>
      </c>
      <c r="L103">
        <f>IF(COUNT(F103:J103)&lt;5,"",IF(AND(COUNTIF(F103:J103,"&gt;=2")=5,G103=3),"YES","no"))</f>
        <v/>
      </c>
    </row>
    <row r="104">
      <c r="A104" t="n">
        <v>103</v>
      </c>
      <c r="K104">
        <f>IF(COUNT(F104:J104)=5,SUM(F104:J104),"")</f>
        <v/>
      </c>
      <c r="L104">
        <f>IF(COUNT(F104:J104)&lt;5,"",IF(AND(COUNTIF(F104:J104,"&gt;=2")=5,G104=3),"YES","no"))</f>
        <v/>
      </c>
    </row>
    <row r="105">
      <c r="A105" t="n">
        <v>104</v>
      </c>
      <c r="K105">
        <f>IF(COUNT(F105:J105)=5,SUM(F105:J105),"")</f>
        <v/>
      </c>
      <c r="L105">
        <f>IF(COUNT(F105:J105)&lt;5,"",IF(AND(COUNTIF(F105:J105,"&gt;=2")=5,G105=3),"YES","no"))</f>
        <v/>
      </c>
    </row>
    <row r="106">
      <c r="A106" t="n">
        <v>105</v>
      </c>
      <c r="K106">
        <f>IF(COUNT(F106:J106)=5,SUM(F106:J106),"")</f>
        <v/>
      </c>
      <c r="L106">
        <f>IF(COUNT(F106:J106)&lt;5,"",IF(AND(COUNTIF(F106:J106,"&gt;=2")=5,G106=3),"YES","no"))</f>
        <v/>
      </c>
    </row>
    <row r="107">
      <c r="A107" t="n">
        <v>106</v>
      </c>
      <c r="K107">
        <f>IF(COUNT(F107:J107)=5,SUM(F107:J107),"")</f>
        <v/>
      </c>
      <c r="L107">
        <f>IF(COUNT(F107:J107)&lt;5,"",IF(AND(COUNTIF(F107:J107,"&gt;=2")=5,G107=3),"YES","no"))</f>
        <v/>
      </c>
    </row>
    <row r="108">
      <c r="A108" t="n">
        <v>107</v>
      </c>
      <c r="K108">
        <f>IF(COUNT(F108:J108)=5,SUM(F108:J108),"")</f>
        <v/>
      </c>
      <c r="L108">
        <f>IF(COUNT(F108:J108)&lt;5,"",IF(AND(COUNTIF(F108:J108,"&gt;=2")=5,G108=3),"YES","no"))</f>
        <v/>
      </c>
    </row>
    <row r="109">
      <c r="A109" t="n">
        <v>108</v>
      </c>
      <c r="K109">
        <f>IF(COUNT(F109:J109)=5,SUM(F109:J109),"")</f>
        <v/>
      </c>
      <c r="L109">
        <f>IF(COUNT(F109:J109)&lt;5,"",IF(AND(COUNTIF(F109:J109,"&gt;=2")=5,G109=3),"YES","no"))</f>
        <v/>
      </c>
    </row>
    <row r="110">
      <c r="A110" t="n">
        <v>109</v>
      </c>
      <c r="K110">
        <f>IF(COUNT(F110:J110)=5,SUM(F110:J110),"")</f>
        <v/>
      </c>
      <c r="L110">
        <f>IF(COUNT(F110:J110)&lt;5,"",IF(AND(COUNTIF(F110:J110,"&gt;=2")=5,G110=3),"YES","no"))</f>
        <v/>
      </c>
    </row>
    <row r="111">
      <c r="A111" t="n">
        <v>110</v>
      </c>
      <c r="K111">
        <f>IF(COUNT(F111:J111)=5,SUM(F111:J111),"")</f>
        <v/>
      </c>
      <c r="L111">
        <f>IF(COUNT(F111:J111)&lt;5,"",IF(AND(COUNTIF(F111:J111,"&gt;=2")=5,G111=3),"YES","no"))</f>
        <v/>
      </c>
    </row>
    <row r="112">
      <c r="A112" t="n">
        <v>111</v>
      </c>
      <c r="K112">
        <f>IF(COUNT(F112:J112)=5,SUM(F112:J112),"")</f>
        <v/>
      </c>
      <c r="L112">
        <f>IF(COUNT(F112:J112)&lt;5,"",IF(AND(COUNTIF(F112:J112,"&gt;=2")=5,G112=3),"YES","no"))</f>
        <v/>
      </c>
    </row>
    <row r="113">
      <c r="A113" t="n">
        <v>112</v>
      </c>
      <c r="K113">
        <f>IF(COUNT(F113:J113)=5,SUM(F113:J113),"")</f>
        <v/>
      </c>
      <c r="L113">
        <f>IF(COUNT(F113:J113)&lt;5,"",IF(AND(COUNTIF(F113:J113,"&gt;=2")=5,G113=3),"YES","no"))</f>
        <v/>
      </c>
    </row>
    <row r="114">
      <c r="A114" t="n">
        <v>113</v>
      </c>
      <c r="K114">
        <f>IF(COUNT(F114:J114)=5,SUM(F114:J114),"")</f>
        <v/>
      </c>
      <c r="L114">
        <f>IF(COUNT(F114:J114)&lt;5,"",IF(AND(COUNTIF(F114:J114,"&gt;=2")=5,G114=3),"YES","no"))</f>
        <v/>
      </c>
    </row>
    <row r="115">
      <c r="A115" t="n">
        <v>114</v>
      </c>
      <c r="K115">
        <f>IF(COUNT(F115:J115)=5,SUM(F115:J115),"")</f>
        <v/>
      </c>
      <c r="L115">
        <f>IF(COUNT(F115:J115)&lt;5,"",IF(AND(COUNTIF(F115:J115,"&gt;=2")=5,G115=3),"YES","no"))</f>
        <v/>
      </c>
    </row>
    <row r="116">
      <c r="A116" t="n">
        <v>115</v>
      </c>
      <c r="K116">
        <f>IF(COUNT(F116:J116)=5,SUM(F116:J116),"")</f>
        <v/>
      </c>
      <c r="L116">
        <f>IF(COUNT(F116:J116)&lt;5,"",IF(AND(COUNTIF(F116:J116,"&gt;=2")=5,G116=3),"YES","no"))</f>
        <v/>
      </c>
    </row>
    <row r="117">
      <c r="A117" t="n">
        <v>116</v>
      </c>
      <c r="K117">
        <f>IF(COUNT(F117:J117)=5,SUM(F117:J117),"")</f>
        <v/>
      </c>
      <c r="L117">
        <f>IF(COUNT(F117:J117)&lt;5,"",IF(AND(COUNTIF(F117:J117,"&gt;=2")=5,G117=3),"YES","no"))</f>
        <v/>
      </c>
    </row>
    <row r="118">
      <c r="A118" t="n">
        <v>117</v>
      </c>
      <c r="K118">
        <f>IF(COUNT(F118:J118)=5,SUM(F118:J118),"")</f>
        <v/>
      </c>
      <c r="L118">
        <f>IF(COUNT(F118:J118)&lt;5,"",IF(AND(COUNTIF(F118:J118,"&gt;=2")=5,G118=3),"YES","no"))</f>
        <v/>
      </c>
    </row>
    <row r="119">
      <c r="A119" t="n">
        <v>118</v>
      </c>
      <c r="K119">
        <f>IF(COUNT(F119:J119)=5,SUM(F119:J119),"")</f>
        <v/>
      </c>
      <c r="L119">
        <f>IF(COUNT(F119:J119)&lt;5,"",IF(AND(COUNTIF(F119:J119,"&gt;=2")=5,G119=3),"YES","no"))</f>
        <v/>
      </c>
    </row>
    <row r="120">
      <c r="A120" t="n">
        <v>119</v>
      </c>
      <c r="K120">
        <f>IF(COUNT(F120:J120)=5,SUM(F120:J120),"")</f>
        <v/>
      </c>
      <c r="L120">
        <f>IF(COUNT(F120:J120)&lt;5,"",IF(AND(COUNTIF(F120:J120,"&gt;=2")=5,G120=3),"YES","no"))</f>
        <v/>
      </c>
    </row>
    <row r="121">
      <c r="A121" t="n">
        <v>120</v>
      </c>
      <c r="K121">
        <f>IF(COUNT(F121:J121)=5,SUM(F121:J121),"")</f>
        <v/>
      </c>
      <c r="L121">
        <f>IF(COUNT(F121:J121)&lt;5,"",IF(AND(COUNTIF(F121:J121,"&gt;=2")=5,G121=3),"YES","no"))</f>
        <v/>
      </c>
    </row>
    <row r="122">
      <c r="A122" t="n">
        <v>121</v>
      </c>
      <c r="K122">
        <f>IF(COUNT(F122:J122)=5,SUM(F122:J122),"")</f>
        <v/>
      </c>
      <c r="L122">
        <f>IF(COUNT(F122:J122)&lt;5,"",IF(AND(COUNTIF(F122:J122,"&gt;=2")=5,G122=3),"YES","no"))</f>
        <v/>
      </c>
    </row>
    <row r="123">
      <c r="A123" t="n">
        <v>122</v>
      </c>
      <c r="K123">
        <f>IF(COUNT(F123:J123)=5,SUM(F123:J123),"")</f>
        <v/>
      </c>
      <c r="L123">
        <f>IF(COUNT(F123:J123)&lt;5,"",IF(AND(COUNTIF(F123:J123,"&gt;=2")=5,G123=3),"YES","no"))</f>
        <v/>
      </c>
    </row>
    <row r="124">
      <c r="A124" t="n">
        <v>123</v>
      </c>
      <c r="K124">
        <f>IF(COUNT(F124:J124)=5,SUM(F124:J124),"")</f>
        <v/>
      </c>
      <c r="L124">
        <f>IF(COUNT(F124:J124)&lt;5,"",IF(AND(COUNTIF(F124:J124,"&gt;=2")=5,G124=3),"YES","no"))</f>
        <v/>
      </c>
    </row>
    <row r="125">
      <c r="A125" t="n">
        <v>124</v>
      </c>
      <c r="K125">
        <f>IF(COUNT(F125:J125)=5,SUM(F125:J125),"")</f>
        <v/>
      </c>
      <c r="L125">
        <f>IF(COUNT(F125:J125)&lt;5,"",IF(AND(COUNTIF(F125:J125,"&gt;=2")=5,G125=3),"YES","no"))</f>
        <v/>
      </c>
    </row>
    <row r="126">
      <c r="A126" t="n">
        <v>125</v>
      </c>
      <c r="K126">
        <f>IF(COUNT(F126:J126)=5,SUM(F126:J126),"")</f>
        <v/>
      </c>
      <c r="L126">
        <f>IF(COUNT(F126:J126)&lt;5,"",IF(AND(COUNTIF(F126:J126,"&gt;=2")=5,G126=3),"YES","no"))</f>
        <v/>
      </c>
    </row>
    <row r="127">
      <c r="A127" t="n">
        <v>126</v>
      </c>
      <c r="K127">
        <f>IF(COUNT(F127:J127)=5,SUM(F127:J127),"")</f>
        <v/>
      </c>
      <c r="L127">
        <f>IF(COUNT(F127:J127)&lt;5,"",IF(AND(COUNTIF(F127:J127,"&gt;=2")=5,G127=3),"YES","no"))</f>
        <v/>
      </c>
    </row>
    <row r="128">
      <c r="A128" t="n">
        <v>127</v>
      </c>
      <c r="K128">
        <f>IF(COUNT(F128:J128)=5,SUM(F128:J128),"")</f>
        <v/>
      </c>
      <c r="L128">
        <f>IF(COUNT(F128:J128)&lt;5,"",IF(AND(COUNTIF(F128:J128,"&gt;=2")=5,G128=3),"YES","no"))</f>
        <v/>
      </c>
    </row>
    <row r="129">
      <c r="A129" t="n">
        <v>128</v>
      </c>
      <c r="K129">
        <f>IF(COUNT(F129:J129)=5,SUM(F129:J129),"")</f>
        <v/>
      </c>
      <c r="L129">
        <f>IF(COUNT(F129:J129)&lt;5,"",IF(AND(COUNTIF(F129:J129,"&gt;=2")=5,G129=3),"YES","no"))</f>
        <v/>
      </c>
    </row>
    <row r="130">
      <c r="A130" t="n">
        <v>129</v>
      </c>
      <c r="K130">
        <f>IF(COUNT(F130:J130)=5,SUM(F130:J130),"")</f>
        <v/>
      </c>
      <c r="L130">
        <f>IF(COUNT(F130:J130)&lt;5,"",IF(AND(COUNTIF(F130:J130,"&gt;=2")=5,G130=3),"YES","no"))</f>
        <v/>
      </c>
    </row>
    <row r="131">
      <c r="A131" t="n">
        <v>130</v>
      </c>
      <c r="K131">
        <f>IF(COUNT(F131:J131)=5,SUM(F131:J131),"")</f>
        <v/>
      </c>
      <c r="L131">
        <f>IF(COUNT(F131:J131)&lt;5,"",IF(AND(COUNTIF(F131:J131,"&gt;=2")=5,G131=3),"YES","no"))</f>
        <v/>
      </c>
    </row>
    <row r="132">
      <c r="A132" t="n">
        <v>131</v>
      </c>
      <c r="K132">
        <f>IF(COUNT(F132:J132)=5,SUM(F132:J132),"")</f>
        <v/>
      </c>
      <c r="L132">
        <f>IF(COUNT(F132:J132)&lt;5,"",IF(AND(COUNTIF(F132:J132,"&gt;=2")=5,G132=3),"YES","no"))</f>
        <v/>
      </c>
    </row>
    <row r="133">
      <c r="A133" t="n">
        <v>132</v>
      </c>
      <c r="K133">
        <f>IF(COUNT(F133:J133)=5,SUM(F133:J133),"")</f>
        <v/>
      </c>
      <c r="L133">
        <f>IF(COUNT(F133:J133)&lt;5,"",IF(AND(COUNTIF(F133:J133,"&gt;=2")=5,G133=3),"YES","no"))</f>
        <v/>
      </c>
    </row>
    <row r="134">
      <c r="A134" t="n">
        <v>133</v>
      </c>
      <c r="K134">
        <f>IF(COUNT(F134:J134)=5,SUM(F134:J134),"")</f>
        <v/>
      </c>
      <c r="L134">
        <f>IF(COUNT(F134:J134)&lt;5,"",IF(AND(COUNTIF(F134:J134,"&gt;=2")=5,G134=3),"YES","no"))</f>
        <v/>
      </c>
    </row>
    <row r="135">
      <c r="A135" t="n">
        <v>134</v>
      </c>
      <c r="K135">
        <f>IF(COUNT(F135:J135)=5,SUM(F135:J135),"")</f>
        <v/>
      </c>
      <c r="L135">
        <f>IF(COUNT(F135:J135)&lt;5,"",IF(AND(COUNTIF(F135:J135,"&gt;=2")=5,G135=3),"YES","no"))</f>
        <v/>
      </c>
    </row>
    <row r="136">
      <c r="A136" t="n">
        <v>135</v>
      </c>
      <c r="K136">
        <f>IF(COUNT(F136:J136)=5,SUM(F136:J136),"")</f>
        <v/>
      </c>
      <c r="L136">
        <f>IF(COUNT(F136:J136)&lt;5,"",IF(AND(COUNTIF(F136:J136,"&gt;=2")=5,G136=3),"YES","no"))</f>
        <v/>
      </c>
    </row>
    <row r="137">
      <c r="A137" t="n">
        <v>136</v>
      </c>
      <c r="K137">
        <f>IF(COUNT(F137:J137)=5,SUM(F137:J137),"")</f>
        <v/>
      </c>
      <c r="L137">
        <f>IF(COUNT(F137:J137)&lt;5,"",IF(AND(COUNTIF(F137:J137,"&gt;=2")=5,G137=3),"YES","no"))</f>
        <v/>
      </c>
    </row>
    <row r="138">
      <c r="A138" t="n">
        <v>137</v>
      </c>
      <c r="K138">
        <f>IF(COUNT(F138:J138)=5,SUM(F138:J138),"")</f>
        <v/>
      </c>
      <c r="L138">
        <f>IF(COUNT(F138:J138)&lt;5,"",IF(AND(COUNTIF(F138:J138,"&gt;=2")=5,G138=3),"YES","no"))</f>
        <v/>
      </c>
    </row>
    <row r="139">
      <c r="A139" t="n">
        <v>138</v>
      </c>
      <c r="K139">
        <f>IF(COUNT(F139:J139)=5,SUM(F139:J139),"")</f>
        <v/>
      </c>
      <c r="L139">
        <f>IF(COUNT(F139:J139)&lt;5,"",IF(AND(COUNTIF(F139:J139,"&gt;=2")=5,G139=3),"YES","no"))</f>
        <v/>
      </c>
    </row>
    <row r="140">
      <c r="A140" t="n">
        <v>139</v>
      </c>
      <c r="K140">
        <f>IF(COUNT(F140:J140)=5,SUM(F140:J140),"")</f>
        <v/>
      </c>
      <c r="L140">
        <f>IF(COUNT(F140:J140)&lt;5,"",IF(AND(COUNTIF(F140:J140,"&gt;=2")=5,G140=3),"YES","no"))</f>
        <v/>
      </c>
    </row>
    <row r="141">
      <c r="A141" t="n">
        <v>140</v>
      </c>
      <c r="K141">
        <f>IF(COUNT(F141:J141)=5,SUM(F141:J141),"")</f>
        <v/>
      </c>
      <c r="L141">
        <f>IF(COUNT(F141:J141)&lt;5,"",IF(AND(COUNTIF(F141:J141,"&gt;=2")=5,G141=3),"YES","no"))</f>
        <v/>
      </c>
    </row>
    <row r="142">
      <c r="A142" t="n">
        <v>141</v>
      </c>
      <c r="K142">
        <f>IF(COUNT(F142:J142)=5,SUM(F142:J142),"")</f>
        <v/>
      </c>
      <c r="L142">
        <f>IF(COUNT(F142:J142)&lt;5,"",IF(AND(COUNTIF(F142:J142,"&gt;=2")=5,G142=3),"YES","no"))</f>
        <v/>
      </c>
    </row>
    <row r="143">
      <c r="A143" t="n">
        <v>142</v>
      </c>
      <c r="K143">
        <f>IF(COUNT(F143:J143)=5,SUM(F143:J143),"")</f>
        <v/>
      </c>
      <c r="L143">
        <f>IF(COUNT(F143:J143)&lt;5,"",IF(AND(COUNTIF(F143:J143,"&gt;=2")=5,G143=3),"YES","no"))</f>
        <v/>
      </c>
    </row>
    <row r="144">
      <c r="A144" t="n">
        <v>143</v>
      </c>
      <c r="K144">
        <f>IF(COUNT(F144:J144)=5,SUM(F144:J144),"")</f>
        <v/>
      </c>
      <c r="L144">
        <f>IF(COUNT(F144:J144)&lt;5,"",IF(AND(COUNTIF(F144:J144,"&gt;=2")=5,G144=3),"YES","no"))</f>
        <v/>
      </c>
    </row>
    <row r="145">
      <c r="A145" t="n">
        <v>144</v>
      </c>
      <c r="K145">
        <f>IF(COUNT(F145:J145)=5,SUM(F145:J145),"")</f>
        <v/>
      </c>
      <c r="L145">
        <f>IF(COUNT(F145:J145)&lt;5,"",IF(AND(COUNTIF(F145:J145,"&gt;=2")=5,G145=3),"YES","no"))</f>
        <v/>
      </c>
    </row>
    <row r="146">
      <c r="A146" t="n">
        <v>145</v>
      </c>
      <c r="K146">
        <f>IF(COUNT(F146:J146)=5,SUM(F146:J146),"")</f>
        <v/>
      </c>
      <c r="L146">
        <f>IF(COUNT(F146:J146)&lt;5,"",IF(AND(COUNTIF(F146:J146,"&gt;=2")=5,G146=3),"YES","no"))</f>
        <v/>
      </c>
    </row>
    <row r="147">
      <c r="A147" t="n">
        <v>146</v>
      </c>
      <c r="K147">
        <f>IF(COUNT(F147:J147)=5,SUM(F147:J147),"")</f>
        <v/>
      </c>
      <c r="L147">
        <f>IF(COUNT(F147:J147)&lt;5,"",IF(AND(COUNTIF(F147:J147,"&gt;=2")=5,G147=3),"YES","no"))</f>
        <v/>
      </c>
    </row>
    <row r="148">
      <c r="A148" t="n">
        <v>147</v>
      </c>
      <c r="K148">
        <f>IF(COUNT(F148:J148)=5,SUM(F148:J148),"")</f>
        <v/>
      </c>
      <c r="L148">
        <f>IF(COUNT(F148:J148)&lt;5,"",IF(AND(COUNTIF(F148:J148,"&gt;=2")=5,G148=3),"YES","no"))</f>
        <v/>
      </c>
    </row>
    <row r="149">
      <c r="A149" t="n">
        <v>148</v>
      </c>
      <c r="K149">
        <f>IF(COUNT(F149:J149)=5,SUM(F149:J149),"")</f>
        <v/>
      </c>
      <c r="L149">
        <f>IF(COUNT(F149:J149)&lt;5,"",IF(AND(COUNTIF(F149:J149,"&gt;=2")=5,G149=3),"YES","no"))</f>
        <v/>
      </c>
    </row>
    <row r="150">
      <c r="A150" t="n">
        <v>149</v>
      </c>
      <c r="K150">
        <f>IF(COUNT(F150:J150)=5,SUM(F150:J150),"")</f>
        <v/>
      </c>
      <c r="L150">
        <f>IF(COUNT(F150:J150)&lt;5,"",IF(AND(COUNTIF(F150:J150,"&gt;=2")=5,G150=3),"YES","no"))</f>
        <v/>
      </c>
    </row>
    <row r="151">
      <c r="A151" t="n">
        <v>150</v>
      </c>
      <c r="K151">
        <f>IF(COUNT(F151:J151)=5,SUM(F151:J151),"")</f>
        <v/>
      </c>
      <c r="L151">
        <f>IF(COUNT(F151:J151)&lt;5,"",IF(AND(COUNTIF(F151:J151,"&gt;=2")=5,G151=3),"YES","no"))</f>
        <v/>
      </c>
    </row>
    <row r="152">
      <c r="A152" t="n">
        <v>151</v>
      </c>
      <c r="K152">
        <f>IF(COUNT(F152:J152)=5,SUM(F152:J152),"")</f>
        <v/>
      </c>
      <c r="L152">
        <f>IF(COUNT(F152:J152)&lt;5,"",IF(AND(COUNTIF(F152:J152,"&gt;=2")=5,G152=3),"YES","no"))</f>
        <v/>
      </c>
    </row>
    <row r="153">
      <c r="A153" t="n">
        <v>152</v>
      </c>
      <c r="K153">
        <f>IF(COUNT(F153:J153)=5,SUM(F153:J153),"")</f>
        <v/>
      </c>
      <c r="L153">
        <f>IF(COUNT(F153:J153)&lt;5,"",IF(AND(COUNTIF(F153:J153,"&gt;=2")=5,G153=3),"YES","no"))</f>
        <v/>
      </c>
    </row>
    <row r="154">
      <c r="A154" t="n">
        <v>153</v>
      </c>
      <c r="K154">
        <f>IF(COUNT(F154:J154)=5,SUM(F154:J154),"")</f>
        <v/>
      </c>
      <c r="L154">
        <f>IF(COUNT(F154:J154)&lt;5,"",IF(AND(COUNTIF(F154:J154,"&gt;=2")=5,G154=3),"YES","no"))</f>
        <v/>
      </c>
    </row>
    <row r="155">
      <c r="A155" t="n">
        <v>154</v>
      </c>
      <c r="K155">
        <f>IF(COUNT(F155:J155)=5,SUM(F155:J155),"")</f>
        <v/>
      </c>
      <c r="L155">
        <f>IF(COUNT(F155:J155)&lt;5,"",IF(AND(COUNTIF(F155:J155,"&gt;=2")=5,G155=3),"YES","no"))</f>
        <v/>
      </c>
    </row>
    <row r="156">
      <c r="A156" t="n">
        <v>155</v>
      </c>
      <c r="K156">
        <f>IF(COUNT(F156:J156)=5,SUM(F156:J156),"")</f>
        <v/>
      </c>
      <c r="L156">
        <f>IF(COUNT(F156:J156)&lt;5,"",IF(AND(COUNTIF(F156:J156,"&gt;=2")=5,G156=3),"YES","no"))</f>
        <v/>
      </c>
    </row>
    <row r="157">
      <c r="A157" t="n">
        <v>156</v>
      </c>
      <c r="K157">
        <f>IF(COUNT(F157:J157)=5,SUM(F157:J157),"")</f>
        <v/>
      </c>
      <c r="L157">
        <f>IF(COUNT(F157:J157)&lt;5,"",IF(AND(COUNTIF(F157:J157,"&gt;=2")=5,G157=3),"YES","no"))</f>
        <v/>
      </c>
    </row>
    <row r="158">
      <c r="A158" t="n">
        <v>157</v>
      </c>
      <c r="K158">
        <f>IF(COUNT(F158:J158)=5,SUM(F158:J158),"")</f>
        <v/>
      </c>
      <c r="L158">
        <f>IF(COUNT(F158:J158)&lt;5,"",IF(AND(COUNTIF(F158:J158,"&gt;=2")=5,G158=3),"YES","no"))</f>
        <v/>
      </c>
    </row>
    <row r="159">
      <c r="A159" t="n">
        <v>158</v>
      </c>
      <c r="K159">
        <f>IF(COUNT(F159:J159)=5,SUM(F159:J159),"")</f>
        <v/>
      </c>
      <c r="L159">
        <f>IF(COUNT(F159:J159)&lt;5,"",IF(AND(COUNTIF(F159:J159,"&gt;=2")=5,G159=3),"YES","no"))</f>
        <v/>
      </c>
    </row>
    <row r="160">
      <c r="A160" t="n">
        <v>159</v>
      </c>
      <c r="K160">
        <f>IF(COUNT(F160:J160)=5,SUM(F160:J160),"")</f>
        <v/>
      </c>
      <c r="L160">
        <f>IF(COUNT(F160:J160)&lt;5,"",IF(AND(COUNTIF(F160:J160,"&gt;=2")=5,G160=3),"YES","no"))</f>
        <v/>
      </c>
    </row>
    <row r="161">
      <c r="A161" t="n">
        <v>160</v>
      </c>
      <c r="K161">
        <f>IF(COUNT(F161:J161)=5,SUM(F161:J161),"")</f>
        <v/>
      </c>
      <c r="L161">
        <f>IF(COUNT(F161:J161)&lt;5,"",IF(AND(COUNTIF(F161:J161,"&gt;=2")=5,G161=3),"YES","no"))</f>
        <v/>
      </c>
    </row>
    <row r="162">
      <c r="A162" t="n">
        <v>161</v>
      </c>
      <c r="K162">
        <f>IF(COUNT(F162:J162)=5,SUM(F162:J162),"")</f>
        <v/>
      </c>
      <c r="L162">
        <f>IF(COUNT(F162:J162)&lt;5,"",IF(AND(COUNTIF(F162:J162,"&gt;=2")=5,G162=3),"YES","no"))</f>
        <v/>
      </c>
    </row>
    <row r="163">
      <c r="A163" t="n">
        <v>162</v>
      </c>
      <c r="K163">
        <f>IF(COUNT(F163:J163)=5,SUM(F163:J163),"")</f>
        <v/>
      </c>
      <c r="L163">
        <f>IF(COUNT(F163:J163)&lt;5,"",IF(AND(COUNTIF(F163:J163,"&gt;=2")=5,G163=3),"YES","no"))</f>
        <v/>
      </c>
    </row>
    <row r="164">
      <c r="A164" t="n">
        <v>163</v>
      </c>
      <c r="K164">
        <f>IF(COUNT(F164:J164)=5,SUM(F164:J164),"")</f>
        <v/>
      </c>
      <c r="L164">
        <f>IF(COUNT(F164:J164)&lt;5,"",IF(AND(COUNTIF(F164:J164,"&gt;=2")=5,G164=3),"YES","no"))</f>
        <v/>
      </c>
    </row>
    <row r="165">
      <c r="A165" t="n">
        <v>164</v>
      </c>
      <c r="K165">
        <f>IF(COUNT(F165:J165)=5,SUM(F165:J165),"")</f>
        <v/>
      </c>
      <c r="L165">
        <f>IF(COUNT(F165:J165)&lt;5,"",IF(AND(COUNTIF(F165:J165,"&gt;=2")=5,G165=3),"YES","no"))</f>
        <v/>
      </c>
    </row>
    <row r="166">
      <c r="A166" t="n">
        <v>165</v>
      </c>
      <c r="K166">
        <f>IF(COUNT(F166:J166)=5,SUM(F166:J166),"")</f>
        <v/>
      </c>
      <c r="L166">
        <f>IF(COUNT(F166:J166)&lt;5,"",IF(AND(COUNTIF(F166:J166,"&gt;=2")=5,G166=3),"YES","no"))</f>
        <v/>
      </c>
    </row>
    <row r="167">
      <c r="A167" t="n">
        <v>166</v>
      </c>
      <c r="K167">
        <f>IF(COUNT(F167:J167)=5,SUM(F167:J167),"")</f>
        <v/>
      </c>
      <c r="L167">
        <f>IF(COUNT(F167:J167)&lt;5,"",IF(AND(COUNTIF(F167:J167,"&gt;=2")=5,G167=3),"YES","no"))</f>
        <v/>
      </c>
    </row>
    <row r="168">
      <c r="A168" t="n">
        <v>167</v>
      </c>
      <c r="K168">
        <f>IF(COUNT(F168:J168)=5,SUM(F168:J168),"")</f>
        <v/>
      </c>
      <c r="L168">
        <f>IF(COUNT(F168:J168)&lt;5,"",IF(AND(COUNTIF(F168:J168,"&gt;=2")=5,G168=3),"YES","no"))</f>
        <v/>
      </c>
    </row>
    <row r="169">
      <c r="A169" t="n">
        <v>168</v>
      </c>
      <c r="K169">
        <f>IF(COUNT(F169:J169)=5,SUM(F169:J169),"")</f>
        <v/>
      </c>
      <c r="L169">
        <f>IF(COUNT(F169:J169)&lt;5,"",IF(AND(COUNTIF(F169:J169,"&gt;=2")=5,G169=3),"YES","no"))</f>
        <v/>
      </c>
    </row>
    <row r="170">
      <c r="A170" t="n">
        <v>169</v>
      </c>
      <c r="K170">
        <f>IF(COUNT(F170:J170)=5,SUM(F170:J170),"")</f>
        <v/>
      </c>
      <c r="L170">
        <f>IF(COUNT(F170:J170)&lt;5,"",IF(AND(COUNTIF(F170:J170,"&gt;=2")=5,G170=3),"YES","no"))</f>
        <v/>
      </c>
    </row>
    <row r="171">
      <c r="A171" t="n">
        <v>170</v>
      </c>
      <c r="K171">
        <f>IF(COUNT(F171:J171)=5,SUM(F171:J171),"")</f>
        <v/>
      </c>
      <c r="L171">
        <f>IF(COUNT(F171:J171)&lt;5,"",IF(AND(COUNTIF(F171:J171,"&gt;=2")=5,G171=3),"YES","no"))</f>
        <v/>
      </c>
    </row>
    <row r="172">
      <c r="A172" t="n">
        <v>171</v>
      </c>
      <c r="K172">
        <f>IF(COUNT(F172:J172)=5,SUM(F172:J172),"")</f>
        <v/>
      </c>
      <c r="L172">
        <f>IF(COUNT(F172:J172)&lt;5,"",IF(AND(COUNTIF(F172:J172,"&gt;=2")=5,G172=3),"YES","no"))</f>
        <v/>
      </c>
    </row>
    <row r="173">
      <c r="A173" t="n">
        <v>172</v>
      </c>
      <c r="K173">
        <f>IF(COUNT(F173:J173)=5,SUM(F173:J173),"")</f>
        <v/>
      </c>
      <c r="L173">
        <f>IF(COUNT(F173:J173)&lt;5,"",IF(AND(COUNTIF(F173:J173,"&gt;=2")=5,G173=3),"YES","no"))</f>
        <v/>
      </c>
    </row>
    <row r="174">
      <c r="A174" t="n">
        <v>173</v>
      </c>
      <c r="K174">
        <f>IF(COUNT(F174:J174)=5,SUM(F174:J174),"")</f>
        <v/>
      </c>
      <c r="L174">
        <f>IF(COUNT(F174:J174)&lt;5,"",IF(AND(COUNTIF(F174:J174,"&gt;=2")=5,G174=3),"YES","no"))</f>
        <v/>
      </c>
    </row>
    <row r="175">
      <c r="A175" t="n">
        <v>174</v>
      </c>
      <c r="K175">
        <f>IF(COUNT(F175:J175)=5,SUM(F175:J175),"")</f>
        <v/>
      </c>
      <c r="L175">
        <f>IF(COUNT(F175:J175)&lt;5,"",IF(AND(COUNTIF(F175:J175,"&gt;=2")=5,G175=3),"YES","no"))</f>
        <v/>
      </c>
    </row>
    <row r="176">
      <c r="A176" t="n">
        <v>175</v>
      </c>
      <c r="K176">
        <f>IF(COUNT(F176:J176)=5,SUM(F176:J176),"")</f>
        <v/>
      </c>
      <c r="L176">
        <f>IF(COUNT(F176:J176)&lt;5,"",IF(AND(COUNTIF(F176:J176,"&gt;=2")=5,G176=3),"YES","no"))</f>
        <v/>
      </c>
    </row>
    <row r="177">
      <c r="A177" t="n">
        <v>176</v>
      </c>
      <c r="K177">
        <f>IF(COUNT(F177:J177)=5,SUM(F177:J177),"")</f>
        <v/>
      </c>
      <c r="L177">
        <f>IF(COUNT(F177:J177)&lt;5,"",IF(AND(COUNTIF(F177:J177,"&gt;=2")=5,G177=3),"YES","no"))</f>
        <v/>
      </c>
    </row>
    <row r="178">
      <c r="A178" t="n">
        <v>177</v>
      </c>
      <c r="K178">
        <f>IF(COUNT(F178:J178)=5,SUM(F178:J178),"")</f>
        <v/>
      </c>
      <c r="L178">
        <f>IF(COUNT(F178:J178)&lt;5,"",IF(AND(COUNTIF(F178:J178,"&gt;=2")=5,G178=3),"YES","no"))</f>
        <v/>
      </c>
    </row>
    <row r="179">
      <c r="A179" t="n">
        <v>178</v>
      </c>
      <c r="K179">
        <f>IF(COUNT(F179:J179)=5,SUM(F179:J179),"")</f>
        <v/>
      </c>
      <c r="L179">
        <f>IF(COUNT(F179:J179)&lt;5,"",IF(AND(COUNTIF(F179:J179,"&gt;=2")=5,G179=3),"YES","no"))</f>
        <v/>
      </c>
    </row>
    <row r="180">
      <c r="A180" t="n">
        <v>179</v>
      </c>
      <c r="K180">
        <f>IF(COUNT(F180:J180)=5,SUM(F180:J180),"")</f>
        <v/>
      </c>
      <c r="L180">
        <f>IF(COUNT(F180:J180)&lt;5,"",IF(AND(COUNTIF(F180:J180,"&gt;=2")=5,G180=3),"YES","no"))</f>
        <v/>
      </c>
    </row>
    <row r="181">
      <c r="A181" t="n">
        <v>180</v>
      </c>
      <c r="K181">
        <f>IF(COUNT(F181:J181)=5,SUM(F181:J181),"")</f>
        <v/>
      </c>
      <c r="L181">
        <f>IF(COUNT(F181:J181)&lt;5,"",IF(AND(COUNTIF(F181:J181,"&gt;=2")=5,G181=3),"YES","no"))</f>
        <v/>
      </c>
    </row>
    <row r="182">
      <c r="A182" t="n">
        <v>181</v>
      </c>
      <c r="K182">
        <f>IF(COUNT(F182:J182)=5,SUM(F182:J182),"")</f>
        <v/>
      </c>
      <c r="L182">
        <f>IF(COUNT(F182:J182)&lt;5,"",IF(AND(COUNTIF(F182:J182,"&gt;=2")=5,G182=3),"YES","no"))</f>
        <v/>
      </c>
    </row>
    <row r="183">
      <c r="A183" t="n">
        <v>182</v>
      </c>
      <c r="K183">
        <f>IF(COUNT(F183:J183)=5,SUM(F183:J183),"")</f>
        <v/>
      </c>
      <c r="L183">
        <f>IF(COUNT(F183:J183)&lt;5,"",IF(AND(COUNTIF(F183:J183,"&gt;=2")=5,G183=3),"YES","no"))</f>
        <v/>
      </c>
    </row>
    <row r="184">
      <c r="A184" t="n">
        <v>183</v>
      </c>
      <c r="K184">
        <f>IF(COUNT(F184:J184)=5,SUM(F184:J184),"")</f>
        <v/>
      </c>
      <c r="L184">
        <f>IF(COUNT(F184:J184)&lt;5,"",IF(AND(COUNTIF(F184:J184,"&gt;=2")=5,G184=3),"YES","no"))</f>
        <v/>
      </c>
    </row>
    <row r="185">
      <c r="A185" t="n">
        <v>184</v>
      </c>
      <c r="K185">
        <f>IF(COUNT(F185:J185)=5,SUM(F185:J185),"")</f>
        <v/>
      </c>
      <c r="L185">
        <f>IF(COUNT(F185:J185)&lt;5,"",IF(AND(COUNTIF(F185:J185,"&gt;=2")=5,G185=3),"YES","no"))</f>
        <v/>
      </c>
    </row>
    <row r="186">
      <c r="A186" t="n">
        <v>185</v>
      </c>
      <c r="K186">
        <f>IF(COUNT(F186:J186)=5,SUM(F186:J186),"")</f>
        <v/>
      </c>
      <c r="L186">
        <f>IF(COUNT(F186:J186)&lt;5,"",IF(AND(COUNTIF(F186:J186,"&gt;=2")=5,G186=3),"YES","no"))</f>
        <v/>
      </c>
    </row>
    <row r="187">
      <c r="A187" t="n">
        <v>186</v>
      </c>
      <c r="K187">
        <f>IF(COUNT(F187:J187)=5,SUM(F187:J187),"")</f>
        <v/>
      </c>
      <c r="L187">
        <f>IF(COUNT(F187:J187)&lt;5,"",IF(AND(COUNTIF(F187:J187,"&gt;=2")=5,G187=3),"YES","no"))</f>
        <v/>
      </c>
    </row>
    <row r="188">
      <c r="A188" t="n">
        <v>187</v>
      </c>
      <c r="K188">
        <f>IF(COUNT(F188:J188)=5,SUM(F188:J188),"")</f>
        <v/>
      </c>
      <c r="L188">
        <f>IF(COUNT(F188:J188)&lt;5,"",IF(AND(COUNTIF(F188:J188,"&gt;=2")=5,G188=3),"YES","no"))</f>
        <v/>
      </c>
    </row>
    <row r="189">
      <c r="A189" t="n">
        <v>188</v>
      </c>
      <c r="K189">
        <f>IF(COUNT(F189:J189)=5,SUM(F189:J189),"")</f>
        <v/>
      </c>
      <c r="L189">
        <f>IF(COUNT(F189:J189)&lt;5,"",IF(AND(COUNTIF(F189:J189,"&gt;=2")=5,G189=3),"YES","no"))</f>
        <v/>
      </c>
    </row>
    <row r="190">
      <c r="A190" t="n">
        <v>189</v>
      </c>
      <c r="K190">
        <f>IF(COUNT(F190:J190)=5,SUM(F190:J190),"")</f>
        <v/>
      </c>
      <c r="L190">
        <f>IF(COUNT(F190:J190)&lt;5,"",IF(AND(COUNTIF(F190:J190,"&gt;=2")=5,G190=3),"YES","no"))</f>
        <v/>
      </c>
    </row>
    <row r="191">
      <c r="A191" t="n">
        <v>190</v>
      </c>
      <c r="K191">
        <f>IF(COUNT(F191:J191)=5,SUM(F191:J191),"")</f>
        <v/>
      </c>
      <c r="L191">
        <f>IF(COUNT(F191:J191)&lt;5,"",IF(AND(COUNTIF(F191:J191,"&gt;=2")=5,G191=3),"YES","no"))</f>
        <v/>
      </c>
    </row>
    <row r="192">
      <c r="A192" t="n">
        <v>191</v>
      </c>
      <c r="K192">
        <f>IF(COUNT(F192:J192)=5,SUM(F192:J192),"")</f>
        <v/>
      </c>
      <c r="L192">
        <f>IF(COUNT(F192:J192)&lt;5,"",IF(AND(COUNTIF(F192:J192,"&gt;=2")=5,G192=3),"YES","no"))</f>
        <v/>
      </c>
    </row>
    <row r="193">
      <c r="A193" t="n">
        <v>192</v>
      </c>
      <c r="K193">
        <f>IF(COUNT(F193:J193)=5,SUM(F193:J193),"")</f>
        <v/>
      </c>
      <c r="L193">
        <f>IF(COUNT(F193:J193)&lt;5,"",IF(AND(COUNTIF(F193:J193,"&gt;=2")=5,G193=3),"YES","no"))</f>
        <v/>
      </c>
    </row>
    <row r="194">
      <c r="A194" t="n">
        <v>193</v>
      </c>
      <c r="K194">
        <f>IF(COUNT(F194:J194)=5,SUM(F194:J194),"")</f>
        <v/>
      </c>
      <c r="L194">
        <f>IF(COUNT(F194:J194)&lt;5,"",IF(AND(COUNTIF(F194:J194,"&gt;=2")=5,G194=3),"YES","no"))</f>
        <v/>
      </c>
    </row>
    <row r="195">
      <c r="A195" t="n">
        <v>194</v>
      </c>
      <c r="K195">
        <f>IF(COUNT(F195:J195)=5,SUM(F195:J195),"")</f>
        <v/>
      </c>
      <c r="L195">
        <f>IF(COUNT(F195:J195)&lt;5,"",IF(AND(COUNTIF(F195:J195,"&gt;=2")=5,G195=3),"YES","no"))</f>
        <v/>
      </c>
    </row>
    <row r="196">
      <c r="A196" t="n">
        <v>195</v>
      </c>
      <c r="K196">
        <f>IF(COUNT(F196:J196)=5,SUM(F196:J196),"")</f>
        <v/>
      </c>
      <c r="L196">
        <f>IF(COUNT(F196:J196)&lt;5,"",IF(AND(COUNTIF(F196:J196,"&gt;=2")=5,G196=3),"YES","no"))</f>
        <v/>
      </c>
    </row>
    <row r="197">
      <c r="A197" t="n">
        <v>196</v>
      </c>
      <c r="K197">
        <f>IF(COUNT(F197:J197)=5,SUM(F197:J197),"")</f>
        <v/>
      </c>
      <c r="L197">
        <f>IF(COUNT(F197:J197)&lt;5,"",IF(AND(COUNTIF(F197:J197,"&gt;=2")=5,G197=3),"YES","no"))</f>
        <v/>
      </c>
    </row>
    <row r="198">
      <c r="A198" t="n">
        <v>197</v>
      </c>
      <c r="K198">
        <f>IF(COUNT(F198:J198)=5,SUM(F198:J198),"")</f>
        <v/>
      </c>
      <c r="L198">
        <f>IF(COUNT(F198:J198)&lt;5,"",IF(AND(COUNTIF(F198:J198,"&gt;=2")=5,G198=3),"YES","no"))</f>
        <v/>
      </c>
    </row>
    <row r="199">
      <c r="A199" t="n">
        <v>198</v>
      </c>
      <c r="K199">
        <f>IF(COUNT(F199:J199)=5,SUM(F199:J199),"")</f>
        <v/>
      </c>
      <c r="L199">
        <f>IF(COUNT(F199:J199)&lt;5,"",IF(AND(COUNTIF(F199:J199,"&gt;=2")=5,G199=3),"YES","no"))</f>
        <v/>
      </c>
    </row>
    <row r="200">
      <c r="A200" t="n">
        <v>199</v>
      </c>
      <c r="K200">
        <f>IF(COUNT(F200:J200)=5,SUM(F200:J200),"")</f>
        <v/>
      </c>
      <c r="L200">
        <f>IF(COUNT(F200:J200)&lt;5,"",IF(AND(COUNTIF(F200:J200,"&gt;=2")=5,G200=3),"YES","no"))</f>
        <v/>
      </c>
    </row>
    <row r="201">
      <c r="A201" t="n">
        <v>200</v>
      </c>
      <c r="K201">
        <f>IF(COUNT(F201:J201)=5,SUM(F201:J201),"")</f>
        <v/>
      </c>
      <c r="L201">
        <f>IF(COUNT(F201:J201)&lt;5,"",IF(AND(COUNTIF(F201:J201,"&gt;=2")=5,G201=3),"YES","no"))</f>
        <v/>
      </c>
    </row>
  </sheetData>
  <dataValidations count="4">
    <dataValidation sqref="F2:J201" showDropDown="0" showInputMessage="0" showErrorMessage="0" allowBlank="1" type="list">
      <formula1>"0,1,2,3"</formula1>
    </dataValidation>
    <dataValidation sqref="D2:D201" showDropDown="0" showInputMessage="0" showErrorMessage="0" allowBlank="1" type="list">
      <formula1>"H,M,L"</formula1>
    </dataValidation>
    <dataValidation sqref="M2:M201" showDropDown="0" showInputMessage="0" showErrorMessage="0" allowBlank="1" type="list">
      <formula1>"Not started,AI draft,In review,Approved,Published,Deprecated,Out of scope"</formula1>
    </dataValidation>
    <dataValidation sqref="N2:N201" showDropDown="0" showInputMessage="0" showErrorMessage="0" allowBlank="1" type="list">
      <formula1>"Pass,Partial,Fail,—"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Alation audit tracker — template</t>
        </is>
      </c>
    </row>
    <row r="2"/>
    <row r="3">
      <c r="A3" t="inlineStr">
        <is>
          <t>1. Copy this file to tracker-filled.xlsx and work only in the copy (the filled name is gitignored).</t>
        </is>
      </c>
    </row>
    <row r="4">
      <c r="A4" t="inlineStr">
        <is>
          <t>2. Paste the catalog inventory into Schema / Table columns; delete the sample row.</t>
        </is>
      </c>
    </row>
    <row r="5">
      <c r="A5" t="inlineStr">
        <is>
          <t>3. Score D1–D5 per curation-standards.md (0–3 dropdowns). Score and AI-Ready compute themselves.</t>
        </is>
      </c>
    </row>
    <row r="6">
      <c r="A6" t="inlineStr">
        <is>
          <t xml:space="preserve">   AI-Ready = every dimension &gt;= 2 AND D2 = 3.</t>
        </is>
      </c>
    </row>
    <row r="7">
      <c r="A7" t="inlineStr">
        <is>
          <t>4. Status tracks the human-in-the-loop pipeline (auto-curation-strategy.md).</t>
        </is>
      </c>
    </row>
    <row r="8">
      <c r="A8" t="inlineStr">
        <is>
          <t>5. UAT rollup comes from ai-uat-protocol.md (Pass / Partial / Fail).</t>
        </is>
      </c>
    </row>
    <row r="9">
      <c r="A9" t="inlineStr">
        <is>
          <t>6. The TALLY block (col Q) feeds the management status update verbatim.</t>
        </is>
      </c>
    </row>
    <row r="10"/>
    <row r="11">
      <c r="A11" t="inlineStr">
        <is>
          <t>Never commit a filled copy — this repository is public.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2026-08-29T08:11:28Z</dcterms:created>
  <dcterms:modified xsi:type="dcterms:W3CDTF">2026-08-29T08:11:38Z</dcterms:modified>
</cp:coreProperties>
</file>