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6" customWidth="1" min="4" max="4"/>
    <col width="18" customWidth="1" min="5" max="5"/>
    <col width="9" customWidth="1" min="6" max="6"/>
    <col width="60" customWidth="1" min="7" max="7"/>
    <col width="9" customWidth="1" min="8" max="8"/>
    <col width="30" customWidth="1" min="10" max="10"/>
    <col width="14" customWidth="1" min="11" max="11"/>
  </cols>
  <sheetData>
    <row r="1">
      <c r="A1" s="1" t="inlineStr">
        <is>
          <t>#</t>
        </is>
      </c>
      <c r="B1" s="1" t="inlineStr">
        <is>
          <t>Object (schema.table.column / BI object)</t>
        </is>
      </c>
      <c r="C1" s="1" t="inlineStr">
        <is>
          <t>Type</t>
        </is>
      </c>
      <c r="D1" s="1" t="inlineStr">
        <is>
          <t>Tier</t>
        </is>
      </c>
      <c r="E1" s="1" t="inlineStr">
        <is>
          <t>Steward</t>
        </is>
      </c>
      <c r="F1" s="1" t="inlineStr">
        <is>
          <t>Verdict</t>
        </is>
      </c>
      <c r="G1" s="1" t="inlineStr">
        <is>
          <t>Gaps (one line)</t>
        </is>
      </c>
      <c r="H1" s="1" t="inlineStr">
        <is>
          <t>Curated</t>
        </is>
      </c>
    </row>
    <row r="2">
      <c r="A2" t="n">
        <v>1</v>
      </c>
      <c r="B2" t="inlineStr">
        <is>
          <t>sales.orders.ord_stat</t>
        </is>
      </c>
      <c r="C2" t="inlineStr">
        <is>
          <t>column</t>
        </is>
      </c>
      <c r="D2" t="inlineStr">
        <is>
          <t>A</t>
        </is>
      </c>
      <c r="E2" t="inlineStr">
        <is>
          <t>(unassigned)</t>
        </is>
      </c>
      <c r="F2" t="inlineStr">
        <is>
          <t>fix</t>
        </is>
      </c>
      <c r="G2" t="inlineStr">
        <is>
          <t>Status codes not enumerated; definition just restates the name.</t>
        </is>
      </c>
      <c r="H2" t="inlineStr"/>
      <c r="J2" s="1" t="inlineStr">
        <is>
          <t>TALLY</t>
        </is>
      </c>
    </row>
    <row r="3">
      <c r="A3" t="n">
        <v>2</v>
      </c>
      <c r="J3" s="2" t="inlineStr">
        <is>
          <t>ready</t>
        </is>
      </c>
      <c r="K3">
        <f>COUNTIF(F2:F201,"ready")</f>
        <v/>
      </c>
    </row>
    <row r="4">
      <c r="A4" t="n">
        <v>3</v>
      </c>
      <c r="J4" s="2" t="inlineStr">
        <is>
          <t>fix</t>
        </is>
      </c>
      <c r="K4">
        <f>COUNTIF(F2:F201,"fix")</f>
        <v/>
      </c>
    </row>
    <row r="5">
      <c r="A5" t="n">
        <v>4</v>
      </c>
      <c r="J5" s="2" t="inlineStr">
        <is>
          <t>retire</t>
        </is>
      </c>
      <c r="K5">
        <f>COUNTIF(F2:F201,"retire")</f>
        <v/>
      </c>
    </row>
    <row r="6">
      <c r="A6" t="n">
        <v>5</v>
      </c>
      <c r="J6" s="2" t="inlineStr">
        <is>
          <t>? — unresolved</t>
        </is>
      </c>
      <c r="K6">
        <f>COUNTIF(F2:F201,"?")</f>
        <v/>
      </c>
    </row>
    <row r="7">
      <c r="A7" t="n">
        <v>6</v>
      </c>
      <c r="J7" s="2" t="inlineStr">
        <is>
          <t>Rows scored</t>
        </is>
      </c>
      <c r="K7">
        <f>COUNTA(F2:F201)</f>
        <v/>
      </c>
    </row>
    <row r="8">
      <c r="A8" t="n">
        <v>7</v>
      </c>
      <c r="J8" s="2" t="inlineStr">
        <is>
          <t>Rows with object but no verdict</t>
        </is>
      </c>
      <c r="K8">
        <f>SUMPRODUCT((B2:B201&lt;&gt;"")*(F2:F201=""))</f>
        <v/>
      </c>
    </row>
    <row r="9">
      <c r="A9" t="n">
        <v>8</v>
      </c>
      <c r="J9" s="2" t="inlineStr">
        <is>
          <t>Tier A ready %</t>
        </is>
      </c>
      <c r="K9" s="3">
        <f>IF(COUNTIF(D2:D201,"A")=0,"",COUNTIFS(D2:D201,"A",F2:F201,"ready")/COUNTIF(D2:D201,"A"))</f>
        <v/>
      </c>
    </row>
    <row r="10">
      <c r="A10" t="n">
        <v>9</v>
      </c>
      <c r="J10" s="2" t="inlineStr">
        <is>
          <t>Curated (yes)</t>
        </is>
      </c>
      <c r="K10">
        <f>COUNTIF(H2:H201,"yes")</f>
        <v/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</row>
    <row r="84">
      <c r="A84" t="n">
        <v>83</v>
      </c>
    </row>
    <row r="85">
      <c r="A85" t="n">
        <v>84</v>
      </c>
    </row>
    <row r="86">
      <c r="A86" t="n">
        <v>85</v>
      </c>
    </row>
    <row r="87">
      <c r="A87" t="n">
        <v>86</v>
      </c>
    </row>
    <row r="88">
      <c r="A88" t="n">
        <v>87</v>
      </c>
    </row>
    <row r="89">
      <c r="A89" t="n">
        <v>88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</row>
    <row r="107">
      <c r="A107" t="n">
        <v>106</v>
      </c>
    </row>
    <row r="108">
      <c r="A108" t="n">
        <v>107</v>
      </c>
    </row>
    <row r="109">
      <c r="A109" t="n">
        <v>108</v>
      </c>
    </row>
    <row r="110">
      <c r="A110" t="n">
        <v>109</v>
      </c>
    </row>
    <row r="111">
      <c r="A111" t="n">
        <v>110</v>
      </c>
    </row>
    <row r="112">
      <c r="A112" t="n">
        <v>111</v>
      </c>
    </row>
    <row r="113">
      <c r="A113" t="n">
        <v>112</v>
      </c>
    </row>
    <row r="114">
      <c r="A114" t="n">
        <v>113</v>
      </c>
    </row>
    <row r="115">
      <c r="A115" t="n">
        <v>114</v>
      </c>
    </row>
    <row r="116">
      <c r="A116" t="n">
        <v>115</v>
      </c>
    </row>
    <row r="117">
      <c r="A117" t="n">
        <v>116</v>
      </c>
    </row>
    <row r="118">
      <c r="A118" t="n">
        <v>117</v>
      </c>
    </row>
    <row r="119">
      <c r="A119" t="n">
        <v>118</v>
      </c>
    </row>
    <row r="120">
      <c r="A120" t="n">
        <v>119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</row>
    <row r="131">
      <c r="A131" t="n">
        <v>130</v>
      </c>
    </row>
    <row r="132">
      <c r="A132" t="n">
        <v>131</v>
      </c>
    </row>
    <row r="133">
      <c r="A133" t="n">
        <v>132</v>
      </c>
    </row>
    <row r="134">
      <c r="A134" t="n">
        <v>133</v>
      </c>
    </row>
    <row r="135">
      <c r="A135" t="n">
        <v>134</v>
      </c>
    </row>
    <row r="136">
      <c r="A136" t="n">
        <v>135</v>
      </c>
    </row>
    <row r="137">
      <c r="A137" t="n">
        <v>136</v>
      </c>
    </row>
    <row r="138">
      <c r="A138" t="n">
        <v>137</v>
      </c>
    </row>
    <row r="139">
      <c r="A139" t="n">
        <v>138</v>
      </c>
    </row>
    <row r="140">
      <c r="A140" t="n">
        <v>139</v>
      </c>
    </row>
    <row r="141">
      <c r="A141" t="n">
        <v>140</v>
      </c>
    </row>
    <row r="142">
      <c r="A142" t="n">
        <v>141</v>
      </c>
    </row>
    <row r="143">
      <c r="A143" t="n">
        <v>142</v>
      </c>
    </row>
    <row r="144">
      <c r="A144" t="n">
        <v>143</v>
      </c>
    </row>
    <row r="145">
      <c r="A145" t="n">
        <v>144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</row>
    <row r="155">
      <c r="A155" t="n">
        <v>154</v>
      </c>
    </row>
    <row r="156">
      <c r="A156" t="n">
        <v>155</v>
      </c>
    </row>
    <row r="157">
      <c r="A157" t="n">
        <v>156</v>
      </c>
    </row>
    <row r="158">
      <c r="A158" t="n">
        <v>157</v>
      </c>
    </row>
    <row r="159">
      <c r="A159" t="n">
        <v>158</v>
      </c>
    </row>
    <row r="160">
      <c r="A160" t="n">
        <v>159</v>
      </c>
    </row>
    <row r="161">
      <c r="A161" t="n">
        <v>160</v>
      </c>
    </row>
    <row r="162">
      <c r="A162" t="n">
        <v>161</v>
      </c>
    </row>
    <row r="163">
      <c r="A163" t="n">
        <v>162</v>
      </c>
    </row>
    <row r="164">
      <c r="A164" t="n">
        <v>163</v>
      </c>
    </row>
    <row r="165">
      <c r="A165" t="n">
        <v>164</v>
      </c>
    </row>
    <row r="166">
      <c r="A166" t="n">
        <v>165</v>
      </c>
    </row>
    <row r="167">
      <c r="A167" t="n">
        <v>166</v>
      </c>
    </row>
    <row r="168">
      <c r="A168" t="n">
        <v>167</v>
      </c>
    </row>
    <row r="169">
      <c r="A169" t="n">
        <v>168</v>
      </c>
    </row>
    <row r="170">
      <c r="A170" t="n">
        <v>169</v>
      </c>
    </row>
    <row r="171">
      <c r="A171" t="n">
        <v>170</v>
      </c>
    </row>
    <row r="172">
      <c r="A172" t="n">
        <v>171</v>
      </c>
    </row>
    <row r="173">
      <c r="A173" t="n">
        <v>172</v>
      </c>
    </row>
    <row r="174">
      <c r="A174" t="n">
        <v>173</v>
      </c>
    </row>
    <row r="175">
      <c r="A175" t="n">
        <v>174</v>
      </c>
    </row>
    <row r="176">
      <c r="A176" t="n">
        <v>175</v>
      </c>
    </row>
    <row r="177">
      <c r="A177" t="n">
        <v>176</v>
      </c>
    </row>
    <row r="178">
      <c r="A178" t="n">
        <v>177</v>
      </c>
    </row>
    <row r="179">
      <c r="A179" t="n">
        <v>178</v>
      </c>
    </row>
    <row r="180">
      <c r="A180" t="n">
        <v>179</v>
      </c>
    </row>
    <row r="181">
      <c r="A181" t="n">
        <v>180</v>
      </c>
    </row>
    <row r="182">
      <c r="A182" t="n">
        <v>181</v>
      </c>
    </row>
    <row r="183">
      <c r="A183" t="n">
        <v>182</v>
      </c>
    </row>
    <row r="184">
      <c r="A184" t="n">
        <v>183</v>
      </c>
    </row>
    <row r="185">
      <c r="A185" t="n">
        <v>184</v>
      </c>
    </row>
    <row r="186">
      <c r="A186" t="n">
        <v>185</v>
      </c>
    </row>
    <row r="187">
      <c r="A187" t="n">
        <v>186</v>
      </c>
    </row>
    <row r="188">
      <c r="A188" t="n">
        <v>187</v>
      </c>
    </row>
    <row r="189">
      <c r="A189" t="n">
        <v>188</v>
      </c>
    </row>
    <row r="190">
      <c r="A190" t="n">
        <v>189</v>
      </c>
    </row>
    <row r="191">
      <c r="A191" t="n">
        <v>190</v>
      </c>
    </row>
    <row r="192">
      <c r="A192" t="n">
        <v>191</v>
      </c>
    </row>
    <row r="193">
      <c r="A193" t="n">
        <v>192</v>
      </c>
    </row>
    <row r="194">
      <c r="A194" t="n">
        <v>193</v>
      </c>
    </row>
    <row r="195">
      <c r="A195" t="n">
        <v>194</v>
      </c>
    </row>
    <row r="196">
      <c r="A196" t="n">
        <v>195</v>
      </c>
    </row>
    <row r="197">
      <c r="A197" t="n">
        <v>196</v>
      </c>
    </row>
    <row r="198">
      <c r="A198" t="n">
        <v>197</v>
      </c>
    </row>
    <row r="199">
      <c r="A199" t="n">
        <v>198</v>
      </c>
    </row>
    <row r="200">
      <c r="A200" t="n">
        <v>199</v>
      </c>
    </row>
    <row r="201">
      <c r="A201" t="n">
        <v>200</v>
      </c>
    </row>
  </sheetData>
  <dataValidations count="4">
    <dataValidation sqref="C2:C201" showDropDown="0" showInputMessage="0" showErrorMessage="0" allowBlank="1" type="list">
      <formula1>"table,column,view,bi,glossary,other"</formula1>
    </dataValidation>
    <dataValidation sqref="D2:D201" showDropDown="0" showInputMessage="0" showErrorMessage="0" allowBlank="1" type="list">
      <formula1>"A,B,C"</formula1>
    </dataValidation>
    <dataValidation sqref="F2:F201" showDropDown="0" showInputMessage="0" showErrorMessage="0" allowBlank="1" type="list">
      <formula1>"ready,fix,retire,?"</formula1>
    </dataValidation>
    <dataValidation sqref="H2:H201" showDropDown="0" showInputMessage="0" showErrorMessage="0" allowBlank="1" type="list">
      <formula1>"yes"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2026-08-29T08:13:42Z</dcterms:created>
  <dcterms:modified xsi:type="dcterms:W3CDTF">2026-08-29T08:13:42Z</dcterms:modified>
</cp:coreProperties>
</file>