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2" fillId="3" borderId="1" applyAlignment="1" pivotButton="0" quotePrefix="0" xfId="0">
      <alignment vertical="top" wrapText="1"/>
    </xf>
    <xf numFmtId="0" fontId="2" fillId="0" borderId="1" pivotButton="0" quotePrefix="0" xfId="0"/>
    <xf numFmtId="0" fontId="4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55" customWidth="1" min="3" max="3"/>
    <col width="8" customWidth="1" min="4" max="4"/>
    <col width="45" customWidth="1" min="5" max="5"/>
    <col width="2" customWidth="1" min="6" max="6"/>
    <col width="30" customWidth="1" min="7" max="7"/>
    <col width="10" customWidth="1" min="8" max="8"/>
  </cols>
  <sheetData>
    <row r="1">
      <c r="A1" s="1" t="inlineStr">
        <is>
          <t>Row</t>
        </is>
      </c>
      <c r="B1" s="1" t="inlineStr">
        <is>
          <t>Prompt (paste)</t>
        </is>
      </c>
      <c r="C1" s="1" t="inlineStr">
        <is>
          <t>Chatbot response (paste)</t>
        </is>
      </c>
      <c r="D1" s="1" t="inlineStr">
        <is>
          <t>Lever</t>
        </is>
      </c>
      <c r="E1" s="1" t="inlineStr">
        <is>
          <t>Why (one line)</t>
        </is>
      </c>
    </row>
    <row r="2">
      <c r="A2" s="2" t="n">
        <v>1</v>
      </c>
      <c r="B2" s="3" t="inlineStr">
        <is>
          <t>What were total units received last week?</t>
        </is>
      </c>
      <c r="C2" s="3" t="inlineStr">
        <is>
          <t>Bot summed a status-code column as if it were a quantity.</t>
        </is>
      </c>
      <c r="D2" s="3" t="inlineStr">
        <is>
          <t>2</t>
        </is>
      </c>
      <c r="E2" s="3" t="inlineStr">
        <is>
          <t>Definition missing for coded column; bot read the code as a count.</t>
        </is>
      </c>
      <c r="G2" s="4" t="inlineStr">
        <is>
          <t>TALLY</t>
        </is>
      </c>
    </row>
    <row r="3">
      <c r="A3" s="2" t="n">
        <v>2</v>
      </c>
      <c r="B3" s="5" t="n"/>
      <c r="C3" s="5" t="n"/>
      <c r="D3" s="5" t="n"/>
      <c r="E3" s="5" t="n"/>
      <c r="G3" s="6" t="inlineStr">
        <is>
          <t>Lever 1 — System prompt</t>
        </is>
      </c>
      <c r="H3" s="7">
        <f>COUNTIF(D2:D21,"1")</f>
        <v/>
      </c>
    </row>
    <row r="4">
      <c r="A4" s="2" t="n">
        <v>3</v>
      </c>
      <c r="B4" s="5" t="n"/>
      <c r="C4" s="5" t="n"/>
      <c r="D4" s="5" t="n"/>
      <c r="E4" s="5" t="n"/>
      <c r="G4" s="6" t="inlineStr">
        <is>
          <t>Lever 2 — Catalog quality</t>
        </is>
      </c>
      <c r="H4" s="7">
        <f>COUNTIF(D2:D21,"2")</f>
        <v/>
      </c>
    </row>
    <row r="5">
      <c r="A5" s="2" t="n">
        <v>4</v>
      </c>
      <c r="B5" s="5" t="n"/>
      <c r="C5" s="5" t="n"/>
      <c r="D5" s="5" t="n"/>
      <c r="E5" s="5" t="n"/>
      <c r="G5" s="6" t="inlineStr">
        <is>
          <t>Lever 3 — View shape</t>
        </is>
      </c>
      <c r="H5" s="7">
        <f>COUNTIF(D2:D21,"3")</f>
        <v/>
      </c>
    </row>
    <row r="6">
      <c r="A6" s="2" t="n">
        <v>5</v>
      </c>
      <c r="B6" s="5" t="n"/>
      <c r="C6" s="5" t="n"/>
      <c r="D6" s="5" t="n"/>
      <c r="E6" s="5" t="n"/>
      <c r="G6" s="6" t="inlineStr">
        <is>
          <t>? — Ambiguous</t>
        </is>
      </c>
      <c r="H6" s="7">
        <f>COUNTIF(D2:D21,"~?")</f>
        <v/>
      </c>
    </row>
    <row r="7">
      <c r="A7" s="2" t="n">
        <v>6</v>
      </c>
      <c r="B7" s="5" t="n"/>
      <c r="C7" s="5" t="n"/>
      <c r="D7" s="5" t="n"/>
      <c r="E7" s="5" t="n"/>
      <c r="G7" s="6" t="inlineStr">
        <is>
          <t>Rows tagged</t>
        </is>
      </c>
      <c r="H7" s="7">
        <f>COUNTA(D2:D21)</f>
        <v/>
      </c>
    </row>
    <row r="8">
      <c r="A8" s="2" t="n">
        <v>7</v>
      </c>
      <c r="B8" s="5" t="n"/>
      <c r="C8" s="5" t="n"/>
      <c r="D8" s="5" t="n"/>
      <c r="E8" s="5" t="n"/>
      <c r="G8" s="6" t="inlineStr">
        <is>
          <t>Rows with prompt but no tag</t>
        </is>
      </c>
      <c r="H8" s="7">
        <f>SUMPRODUCT((B2:B21&lt;&gt;"")*(D2:D21=""))</f>
        <v/>
      </c>
    </row>
    <row r="9">
      <c r="A9" s="2" t="n">
        <v>8</v>
      </c>
      <c r="B9" s="5" t="n"/>
      <c r="C9" s="5" t="n"/>
      <c r="D9" s="5" t="n"/>
      <c r="E9" s="5" t="n"/>
      <c r="G9" s="6" t="inlineStr">
        <is>
          <t>Dominant lever (1/2/3)</t>
        </is>
      </c>
      <c r="H9" s="7">
        <f>INDEX({"1";"2";"3"},MATCH(MAX(H3:H5),H3:H5,0))</f>
        <v/>
      </c>
    </row>
    <row r="10">
      <c r="A10" s="2" t="n">
        <v>9</v>
      </c>
      <c r="B10" s="5" t="n"/>
      <c r="C10" s="5" t="n"/>
      <c r="D10" s="5" t="n"/>
      <c r="E10" s="5" t="n"/>
    </row>
    <row r="11">
      <c r="A11" s="2" t="n">
        <v>10</v>
      </c>
      <c r="B11" s="5" t="n"/>
      <c r="C11" s="5" t="n"/>
      <c r="D11" s="5" t="n"/>
      <c r="E11" s="5" t="n"/>
    </row>
    <row r="12">
      <c r="A12" s="2" t="n">
        <v>11</v>
      </c>
      <c r="B12" s="5" t="n"/>
      <c r="C12" s="5" t="n"/>
      <c r="D12" s="5" t="n"/>
      <c r="E12" s="5" t="n"/>
      <c r="G12" s="4" t="inlineStr">
        <is>
          <t>HOW TO USE</t>
        </is>
      </c>
    </row>
    <row r="13">
      <c r="A13" s="2" t="n">
        <v>12</v>
      </c>
      <c r="B13" s="5" t="n"/>
      <c r="C13" s="5" t="n"/>
      <c r="D13" s="5" t="n"/>
      <c r="E13" s="5" t="n"/>
      <c r="G13" s="8" t="inlineStr">
        <is>
          <t>1. Edit yellow cells only: paste Prompt + Response, pick Lever (dropdown: 1, 2, 3, ?), one line of Why.</t>
        </is>
      </c>
    </row>
    <row r="14">
      <c r="A14" s="2" t="n">
        <v>13</v>
      </c>
      <c r="B14" s="5" t="n"/>
      <c r="C14" s="5" t="n"/>
      <c r="D14" s="5" t="n"/>
      <c r="E14" s="5" t="n"/>
      <c r="G14" s="8" t="inlineStr">
        <is>
          <t>2. Row 1 of the table is an EXAMPLE with fake values — overwrite it with real data first.</t>
        </is>
      </c>
    </row>
    <row r="15">
      <c r="A15" s="2" t="n">
        <v>14</v>
      </c>
      <c r="B15" s="5" t="n"/>
      <c r="C15" s="5" t="n"/>
      <c r="D15" s="5" t="n"/>
      <c r="E15" s="5" t="n"/>
      <c r="G15" s="8" t="inlineStr">
        <is>
          <t>3. Tag ALL rows before writing any Why (speed first, prose second).</t>
        </is>
      </c>
    </row>
    <row r="16">
      <c r="A16" s="2" t="n">
        <v>15</v>
      </c>
      <c r="B16" s="5" t="n"/>
      <c r="C16" s="5" t="n"/>
      <c r="D16" s="5" t="n"/>
      <c r="E16" s="5" t="n"/>
      <c r="G16" s="8" t="inlineStr">
        <is>
          <t>4. Tally computes itself (column H). Lever definitions: see rubric.md in this folder.</t>
        </is>
      </c>
    </row>
    <row r="17">
      <c r="A17" s="2" t="n">
        <v>16</v>
      </c>
      <c r="B17" s="5" t="n"/>
      <c r="C17" s="5" t="n"/>
      <c r="D17" s="5" t="n"/>
      <c r="E17" s="5" t="n"/>
      <c r="G17" s="8" t="inlineStr">
        <is>
          <t>5. Save filled copies as tagging-template-filled.xlsx — that name is gitignored; never commit real data.</t>
        </is>
      </c>
    </row>
    <row r="18">
      <c r="A18" s="2" t="n">
        <v>17</v>
      </c>
      <c r="B18" s="5" t="n"/>
      <c r="C18" s="5" t="n"/>
      <c r="D18" s="5" t="n"/>
      <c r="E18" s="5" t="n"/>
    </row>
    <row r="19">
      <c r="A19" s="2" t="n">
        <v>18</v>
      </c>
      <c r="B19" s="5" t="n"/>
      <c r="C19" s="5" t="n"/>
      <c r="D19" s="5" t="n"/>
      <c r="E19" s="5" t="n"/>
    </row>
    <row r="20">
      <c r="A20" s="2" t="n">
        <v>19</v>
      </c>
      <c r="B20" s="5" t="n"/>
      <c r="C20" s="5" t="n"/>
      <c r="D20" s="5" t="n"/>
      <c r="E20" s="5" t="n"/>
    </row>
    <row r="21">
      <c r="A21" s="2" t="n">
        <v>20</v>
      </c>
      <c r="B21" s="5" t="n"/>
      <c r="C21" s="5" t="n"/>
      <c r="D21" s="5" t="n"/>
      <c r="E21" s="5" t="n"/>
    </row>
  </sheetData>
  <dataValidations count="1">
    <dataValidation sqref="D2:D21" showDropDown="0" showInputMessage="0" showErrorMessage="1" allowBlank="1" errorTitle="Invalid lever" error="Use 1, 2, 3, or ? (ambiguous)" type="list">
      <formula1>"1,2,3,?"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2026-08-27T05:21:35Z</dcterms:created>
  <dcterms:modified xsi:type="dcterms:W3CDTF">2026-08-27T05:21:35Z</dcterms:modified>
</cp:coreProperties>
</file>